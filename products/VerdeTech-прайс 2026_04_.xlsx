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VERDE\Прайс-листы\"/>
    </mc:Choice>
  </mc:AlternateContent>
  <xr:revisionPtr revIDLastSave="0" documentId="13_ncr:1_{400F75AD-49C2-4C18-ACD5-41E98BE83881}" xr6:coauthVersionLast="47" xr6:coauthVersionMax="47" xr10:uidLastSave="{00000000-0000-0000-0000-000000000000}"/>
  <bookViews>
    <workbookView xWindow="32280" yWindow="-120" windowWidth="29040" windowHeight="15720" xr2:uid="{00000000-000D-0000-FFFF-FFFF00000000}"/>
  </bookViews>
  <sheets>
    <sheet name="прайс-лист VERDETECH" sheetId="1" r:id="rId1"/>
  </sheets>
  <definedNames>
    <definedName name="_xlnm._FilterDatabase" localSheetId="0" hidden="1">'прайс-лист VERDETECH'!$B$8:$L$658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1" l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</calcChain>
</file>

<file path=xl/sharedStrings.xml><?xml version="1.0" encoding="utf-8"?>
<sst xmlns="http://schemas.openxmlformats.org/spreadsheetml/2006/main" count="5877" uniqueCount="1891">
  <si>
    <t>Verde®Tech - будущее с заботой.  Производство комплексных пищевых добавок, специй и пряностей.</t>
  </si>
  <si>
    <t>https://verdetech.ru/</t>
  </si>
  <si>
    <t>Ваш менеджер:</t>
  </si>
  <si>
    <t>Фамилия Имя</t>
  </si>
  <si>
    <t>тел:</t>
  </si>
  <si>
    <t>Почта:</t>
  </si>
  <si>
    <t>прайс действителен до 01.05.2026</t>
  </si>
  <si>
    <t xml:space="preserve">    г. Санкт-Петербург</t>
  </si>
  <si>
    <t>ООО " ВЕРДЭ" | ОГРН 1127847172837  | ИНН 7802784592</t>
  </si>
  <si>
    <t xml:space="preserve"> +7 (812) 607-64-28</t>
  </si>
  <si>
    <r>
      <t xml:space="preserve">Доставка </t>
    </r>
    <r>
      <rPr>
        <u/>
        <sz val="10"/>
        <color theme="1"/>
        <rFont val="Calibri"/>
        <family val="2"/>
        <charset val="204"/>
        <scheme val="minor"/>
      </rPr>
      <t xml:space="preserve">не входит </t>
    </r>
    <r>
      <rPr>
        <sz val="10"/>
        <color theme="1"/>
        <rFont val="Calibri"/>
        <family val="2"/>
        <charset val="204"/>
        <scheme val="minor"/>
      </rPr>
      <t xml:space="preserve">в стоимость и рассчитывается отдельно. </t>
    </r>
    <r>
      <rPr>
        <b/>
        <sz val="10"/>
        <color theme="1"/>
        <rFont val="Calibri"/>
        <family val="2"/>
        <charset val="204"/>
        <scheme val="minor"/>
      </rPr>
      <t>Бесплатная доставка по СПБ от 35 000 рублей, по ЛО от 45 000 рублей (в том числе до терминала ТК по СПб)</t>
    </r>
    <r>
      <rPr>
        <sz val="10"/>
        <color theme="1"/>
        <rFont val="Calibri"/>
        <family val="2"/>
        <charset val="204"/>
        <scheme val="minor"/>
      </rPr>
      <t xml:space="preserve">. Минимальный заказ = тарному месту. Минимальная фасовка указана в поле фасовка. Срок изготовления и поставки зависит от категории товаров и принимаются не ранее, чем за 3 рабочих дня до предполагаемой даты отгрузки, без учета времени на доставку. </t>
    </r>
  </si>
  <si>
    <t>Заказы принимаются на почту: zakaz@verdetech.ru</t>
  </si>
  <si>
    <t>тарное место</t>
  </si>
  <si>
    <t>меньше тарного места</t>
  </si>
  <si>
    <t>Категория</t>
  </si>
  <si>
    <t>Подкатегория</t>
  </si>
  <si>
    <t>Наименование</t>
  </si>
  <si>
    <t>Описание</t>
  </si>
  <si>
    <t>Состав</t>
  </si>
  <si>
    <t>Дозировки, свойства</t>
  </si>
  <si>
    <t>Область применения</t>
  </si>
  <si>
    <t>Фасовка</t>
  </si>
  <si>
    <t>Тарное место</t>
  </si>
  <si>
    <t>Цена (без НДС)</t>
  </si>
  <si>
    <t>Цена (с НДС) 22%</t>
  </si>
  <si>
    <t>Функциональные смеси</t>
  </si>
  <si>
    <t>Комплексные технологические смеси/компаунды</t>
  </si>
  <si>
    <t>V Докторская</t>
  </si>
  <si>
    <t>Комплексная пищевая добавка для варёных колбас типа «Докторская»: даёт стабильную эмульсию, сочность и ровный срез, помогает удерживать влагу и сохранять нежную текстуру. Вкус — классический, деликатный, с тонкими нотами кардамона, мускатного ореха и белого перца.</t>
  </si>
  <si>
    <t xml:space="preserve">состав: регуляторы кислотности (Е 450iii, Е 451i),  пряности и экстракты пряностей (кардамон, мускатный орех, перец белый), мальтодекстрин, усилитель вкуса и аромата Е 621, декстроза, соль, антиокислитель (Е 301) </t>
  </si>
  <si>
    <t>9-10 грамм 
на 1 кг основного сырья</t>
  </si>
  <si>
    <t>Комплексные пищевые добавки для вареных колбас</t>
  </si>
  <si>
    <t>Мет. П. 260*450 - 2 кг
Мет. П. 400*600 - 5 кг
Мет. П. 500*600 - 10 кг</t>
  </si>
  <si>
    <t>мешок/короб 20 / 25 кг</t>
  </si>
  <si>
    <t>V Русская</t>
  </si>
  <si>
    <t>Комплексная пищевая добавка для варёных колбас и мясных изделий «Русского» профиля: обеспечивает плотную структуру, стабильность фарша и сочность готового продукта. Вкус — выразительный мясной, с акцентом на чеснок и перечный букет (душистый и чёрный перец).</t>
  </si>
  <si>
    <t>состав: пряности и экстракты пряностей (чеснок, душистый перец, черный перец), регуляторы кислотности (Е 450iii, Е 451i), мальтодекстрин, усилитель вкуса и аромата Е 621, декстроза, ароматизатор,  соль, антиокислитель (Е 301), масло горчицы.</t>
  </si>
  <si>
    <t>10-12 грамм
 на 1 кг основного сырья</t>
  </si>
  <si>
    <t>V Эстонская</t>
  </si>
  <si>
    <t>Комплексная пищевая добавка для варёных колбас в «европейском» стиле: стабилизирует эмульсию, улучшает связку и даёт аккуратный, однородный срез. Вкусоароматический профиль — чеснок, кориандр и мягкая перечность, чисто и ровно в послевкусии.</t>
  </si>
  <si>
    <t>состав:  регуляторы кислотности (Е450iii, Е451i), мальтодекстрин, декстроза, усилитель вкуса и аромата (Е621), ароматизатор, соль, пряности и экстракты пряностей (чеснок, перец душистый, перец черный, кориандр), антиокислитель Е 301.</t>
  </si>
  <si>
    <t>V Любительская</t>
  </si>
  <si>
    <t>Комплексная пищевая добавка для варёных колбас типа «Любительская»: помогает получить упругую текстуру, сочность и стабильный внешний вид батона. Вкус — насыщенный, «домашний», с нотами чеснока и мускатного ореха, подчёркнутый лёгкой горчичной пряностью.</t>
  </si>
  <si>
    <t>регуляторы кислотности (Е 450iii, Е 451i),  соль поваренная, декстроза,  мальтодекстрин, усилитель вкуса и аромата Е 621, пряности и экстракты пряностей (перец черный, чеснок, мускатный орех, горчица), антиокислитель (Е 316), ароматизатор мясной</t>
  </si>
  <si>
    <t>V Мускатная</t>
  </si>
  <si>
    <t>Комплексная пищевая добавка для варёных колбас с пряным акцентом: усиливает влагосвязывание и стабилизирует фарш, формирует плотную и сочную структуру. Аромат — тёплый и пряный: мускат, кориандр, душистый и чёрный перец, имбирная нота.</t>
  </si>
  <si>
    <t>состав:  пряности и экстракты пряностей (мускатный орех, кориандр, перец душистый, перец черный, имбирь), регуляторы кислотности (Е450iii, Е 451i), мальтодекстрин, декстроза, усилитель вкуса и аромата Е 621, соль, антиокислитель (Е 301).</t>
  </si>
  <si>
    <t>V Мортаделла</t>
  </si>
  <si>
    <t>Комплексная пищевая добавка для варёных колбас типа «Мортаделла»: поддерживает стабильную эмульсию, сочность и однородную структуру продукта. Вкус — яркий и пряный, с мускатным фоном, чёрным перцем, остротой чили и лёгкой горчичной нотой.</t>
  </si>
  <si>
    <t>состав:  пряности и экстракты пряностей (мускатный орех, перец черный, перец острый Чили, горчичный порошок), регуляторы кислотности (Е 450iii, Е 451i), мальтодекстрин, усилитель вкуса и аромата Е 621, ароматизатор, декстроза, соль, антиокислитель (Е 316).</t>
  </si>
  <si>
    <t>V Молочная</t>
  </si>
  <si>
    <t>Комплексная пищевая добавка для варёных колбас и сосисок «молочного» профиля: обеспечивает нежную консистенцию, стабильный срез и сочность. Вкус — мягкий, сливочно-молочный, с деликатным пряным шлейфом кориандра и перцев.</t>
  </si>
  <si>
    <t>состав:  регуляторы кислотности (Е 450iii, Е 451i), экстракты пряностей (кориандр, перец черный, перец душистый), сыворотка молочная сухая, декстроза, усилитель вкуса и аромата Е 621, ароматизатор, соль, антиокислитель (Е 301)</t>
  </si>
  <si>
    <t>V Сливочная</t>
  </si>
  <si>
    <t>Комплексная пищевая добавка для варёных колбас и сосисок со сливочным профилем: помогает получить нежную, сочную текстуру и стабильную структуру фарша. Вкус — выраженно сливочный, округлый, с тонкой перечностью и мускатной нотой в аромате.</t>
  </si>
  <si>
    <t>состав:  регуляторы кислотности (Е450iii, Е451i), ароматизатор, сливки сухие молочные, декстроза, усилитель вкуса и аромата (Е621),  соль, мальтодекстрин, пряности и экстракты пряностей (перец черный, перец душистый, мускатный орех), антиокислитель Е 316</t>
  </si>
  <si>
    <t>V Сосиски Молочные</t>
  </si>
  <si>
    <t>Комплексная пищевая добавка для молочных сосисок: даёт стабильную эмульсию, нежную «сосисочную» текстуру и ровный светлый срез. Вкус — мягкий, молочный, с тонкими нотами мускатного ореха, кориандра и чёрного перца.</t>
  </si>
  <si>
    <t>влагоудерживающий агент Е450iii, регулятор кислотности Е451i, носитель (мальтодекстрин), декстроза, молоко сухое, соль пищевая,  экстракты пряностей (мускатный орех, перец черный, кориандр), антиокислитель Е316</t>
  </si>
  <si>
    <t xml:space="preserve">10 г на кг фаршемассы
 </t>
  </si>
  <si>
    <t>V Сосиски Венские</t>
  </si>
  <si>
    <t>Комплексная пищевая добавка для венских сосисок: обеспечивает плотную, упругую структуру, хорошую сочность и стабильное качество партии. Вкус — ярче классики: мускат и кардамон в аромате, лёгкая острота чили и аккуратная коптильная нота.</t>
  </si>
  <si>
    <t>влагоудерживающий агент Е450iii, регулятор кислотности Е451i, мальтодекстрин, пряности и экстракты пряностей (перец черный, мускатный орех, кардамон, перец красный чили, перец белый),  декстроза, соль пищевая, антиокислитель Е316, ароматизатор коптильный, молоко сухое.</t>
  </si>
  <si>
    <t>V ПК Краковская</t>
  </si>
  <si>
    <t>Комплексная пищевая добавка для полукопчёных/варёно-копчёных колбас типа «Краковская»: помогает сформировать плотную структуру, хороший срез и стабильность изделия при термообработке. Вкус — мясной и пряный: кориандр, чеснок, чёрный перец, классический «краковский» профиль.</t>
  </si>
  <si>
    <t>состав:  регуляторы кислотности (Е450iii, Е451i), пряности (кориандр, чеснок, перец черный), ароматизатор мясной, клетчатка растительная, соль, усилитель вкуса и аромата (Е621), антиокислитель (Е316)</t>
  </si>
  <si>
    <t>12 грамм 
на 1 кг основного сырья</t>
  </si>
  <si>
    <t>Комплексные пищевые добавки для полукопченых и варено-копченых колбас</t>
  </si>
  <si>
    <t>V ПК Охотничья</t>
  </si>
  <si>
    <t>Комплексная пищевая добавка для колбасок и колбас типа «Охотничьи»: поддерживает структуру, сочность и стабильность продукта, даёт выраженный аромат специй. Профиль вкуса — пряный и «костровой»: перцы, кориандр, паприка, имбирь, можжевеловая ягода и дымная нота.</t>
  </si>
  <si>
    <t>состав:  регуляторы кислотности (Е 450iii, Е 451i), пряности  (перец черный, кориандр, паприка, имбирь, можжевеловая ягода), аромат дыма, клетчатка растительная, соль, усилитель вкуса и аромата Е 621, антиокислитель Е 316.</t>
  </si>
  <si>
    <t>10 грамм 
на 1 кг основного сырья</t>
  </si>
  <si>
    <t>V ПК Кабаносы</t>
  </si>
  <si>
    <t>Комплексная пищевая добавка для кабаносов и пряных колбасок: стабилизирует фарш и помогает получить плотную, упругую текстуру. Вкус — яркий, пикантный: кориандр, чеснок, чёрный перец, паприка и острота чили, мясной аромат в послевкусии.</t>
  </si>
  <si>
    <t>состав:  регуляторы кислотности (Е450iii, Е451i), пряности (кориандр, чеснок, перец черный, паприка, перец острый Чили), ароматизатор мясной, соль, усилитель вкуса и аромата (Е621), антиокислитель (Е316),  мальтодекстрин</t>
  </si>
  <si>
    <t>V ПК Украинская</t>
  </si>
  <si>
    <t>Комплексная пищевая добавка для полукопчёных/варёно-копчёных колбас «украинского» профиля: формирует стабильную структуру и сочность продукта. Вкус — насыщенный и пряный: чеснок, чёрный перец, мускатный орех и тмин, с лёгкой коптильной нотой.</t>
  </si>
  <si>
    <t>состав: регуляторы кислотности (Е450iii, Е451i), пряности и экстракты пряностей (чеснок, перец черный, мускатный орех, тмин, масло горчичное), соль, усилитель вкуса и аромата (Е621), антиокислитель (Е316), ароматизатор коптильный.</t>
  </si>
  <si>
    <t>V ПК Московская</t>
  </si>
  <si>
    <t>Комплексная пищевая добавка для «Московской» колбасы: даёт плотную текстуру, ровный срез и стабильность при производстве. Профиль — классический пряный: чёрный и белый перец, кориандр, чеснок, кардамон и мускат, с аккуратной коптильной нотой.</t>
  </si>
  <si>
    <t>Состав: пряности и экстракты пряностей (перец черный, чеснок, кориандр, мускатный орех, белый перец, кардамон), регуляторы кислотности (Е 450iii, Е 451i),  усилитель вкуса и аромата Е 621, антиокислитель Е 316, соль, ароматизатор коптильный.</t>
  </si>
  <si>
    <t>V Сервелат Столичный</t>
  </si>
  <si>
    <t>Комплексная пищевая добавка для сервелата «Столичный»: помогает получить плотную структуру, сочность и красивый срез. Вкус — выразительный, с пряным букетом чеснока и кориандра, сладковатой паприкой и лёгкой теплотой кардамона.</t>
  </si>
  <si>
    <t>состав: пряности и экстракты пряностей (чеснок,  кориандр, перец черный, паприка красная сладкая, кардамон), регуляторы кислотности (Е 450iii, Е 451i),   усилитель вкуса и аромата Е 621, ароматизатор мясной, соль, антиокислитель Е 316, мальтодекстрин.</t>
  </si>
  <si>
    <t>V Сервелат Финский</t>
  </si>
  <si>
    <t>Комплексная пищевая добавка для сервелата «Финский»: стабилизирует фарш и поддерживает ровную текстуру изделия. Профиль вкуса — мягко-пряный: чёрный перец и мускатный орех, с оттенком сладкой паприки и ровным мясным ароматом.</t>
  </si>
  <si>
    <t xml:space="preserve">состав:  пряности и экстракты пряностей (перец черный, мускатный орех, паприка красная сладкая), регуляторы кислотности (Е 450iii, Е 451i), усилитель вкуса и аромата Е 621, ароматизатор, соль, антиокислитель Е 316, ароматизатор
</t>
  </si>
  <si>
    <t>V Сервелат Мускатный</t>
  </si>
  <si>
    <t>Комплексная пищевая добавка для сервелата с мускатным профилем: формирует плотную, сочную структуру и устойчивое качество. Вкус — тёплый и пряный: мускат, кориандр, чёрный перец и копчёная паприка, с насыщенным ароматом.</t>
  </si>
  <si>
    <t>состав: пряности и экстракты пряностей (мускатный орех, кориандр, перец черный, паприка копченая), регуляторы кислотности (Е 450iii, Е 451i),  клетчатка растительная, усилитель вкуса и аромата Е 621, соль, антиокислитель Е 316, ароматизатор</t>
  </si>
  <si>
    <t>V Оригинальная ВК Комби</t>
  </si>
  <si>
    <t>Комплексная пищевая добавка для полукопчёных/варёно-копчёных колбас: стабилизирует эмульсию и структуру, добавляет округлость вкуса и «полноту» восприятия. Профиль — мясной, пряный и сливочный: специи + молочно-сливочная нота и дрожжевой экстракт для глубины.</t>
  </si>
  <si>
    <t>состав: пряности и экстракты пряностей (перец черный, чеснок, перец душистый, мускатный орех), регуляторы кислотности (Е 450iii, Е 451i), ароматизаторы,  сливки сухие молочные, декстроза, мальтодекстрин, усилитель вкуса и аромата Е 621,  дрожжевой экстракт, антиокислитель (Е 316), соль</t>
  </si>
  <si>
    <t>V Салями СК с можжевеловой ягодой</t>
  </si>
  <si>
    <t>Комплексная пищевая добавка для салями и колбас с ярким «лесным» акцентом: поддерживает стабильность фарша и формирует выразительный аромат. Вкус — пряный, с узнаваемой можжевеловой нотой, перцем, кориандром и лёгкой остротой чили.</t>
  </si>
  <si>
    <t>состав: регуляторы кислотности (Е 450iii, Е 451i), мальтодекстрин,  декстроза,  вещество натуральное вкусоароматическое: можжевельник, соль, усилитель вкуса и аромата (Е 621), экстракты специй (перец черный, имбирь, кориандр,  перец красный Чили), антиокислитель (Е 316).</t>
  </si>
  <si>
    <t>10-12 грамм 
на 1 кг основного сырья</t>
  </si>
  <si>
    <t>V Арома Ореховая</t>
  </si>
  <si>
    <t>Комплексная пищевая добавка для колбас с ореховым профилем (сырокопчёные/сыровяленые/копчёные): усиливает «премиальность» вкуса и даёт характерную ореховую ноту. Профиль — грецкий орех + пряный шлейф перца и муската.</t>
  </si>
  <si>
    <t>состав: регуляторы кислотности (Е 450iii, Е 451i), мальтодекстрин,  декстроза, соль, усилитель вкуса и аромата (Е 621), вещество натуральное вкусоароматическое: грецкий орех, экстракты специй (перец черный,  мускатный орех, перец красный Чили), антиокислитель (Е 316).</t>
  </si>
  <si>
    <t>V Арома Перечная</t>
  </si>
  <si>
    <t>Комплексная пищевая добавка для колбасных изделий с акцентом на чёрный перец: усиливает вкус и даёт яркую перечную ароматику, сохраняя чистый профиль изделия. Отлично подходит для продуктов, где нужен «перечный удар» и плотное послевкусие.</t>
  </si>
  <si>
    <t>регулятор кислотности Е451, соль поваренная, усилитель вкуса и аромата Е621 (11,79%), перец черный, антиокислители (Е300, Е301), ароматизаторы (мясо, перец черный), агент антислеживающий Е551.</t>
  </si>
  <si>
    <t>14 грамм 
на 1 кг фаршемассы</t>
  </si>
  <si>
    <t>V Салями СК Итальянская</t>
  </si>
  <si>
    <t>Комплексная пищевая добавка для сырокопчёных/сыровяленых колбас в итальянском стиле: формирует пряный, «салями»-профиль и выразительную ароматику. Вкус — паприка и перцы, мускат, чили, масло кориандра, с насыщенным мясным послевкусием.</t>
  </si>
  <si>
    <t>состав:  регулятор кислотности (Е575), пряности (паприка, перец черный, мускатный орех, перец красный Чили, масло кориандра, экстракт паприки), декстроза, клетчатка растительная, соль, усилитель вкуса и аромата (Е621).</t>
  </si>
  <si>
    <t>18-19 грамм 
на 1 кг основного сырья</t>
  </si>
  <si>
    <t>Комплексные пищевые добавки для сырокопченых и сыровяленых колбас</t>
  </si>
  <si>
    <t>V Салями СК Суджук</t>
  </si>
  <si>
    <t>Комплексная пищевая добавка для суджука и пряных сырокопчёных колбас: задаёт характерный остро-пряный профиль и яркий аромат. Вкус — перец, паприка и чили, мускат, экстракт кардамона, с плотным пряным шлейфом.</t>
  </si>
  <si>
    <t>состав:  регулятор кислотности (Е575), пряности (перец черный, мускатный орех, перец красный Чили, паприка, экстракт паприки, экстракт кардамона), декстроза, клетчатка растительная, усилитель вкуса и аромата (Е621), соль.</t>
  </si>
  <si>
    <t>V Салями СК Перечная</t>
  </si>
  <si>
    <t>Комплексная пищевая добавка для перечных сырокопчёных/сыровяленых колбас: делает вкус насыщенным и «острым по-взрослому». Профиль — смесь перцев (чёрный, душистый, чили) + кардамон, с выразительным послевкусием.</t>
  </si>
  <si>
    <t>состав:  регулятор кислотности Е 575, пряности (перец черный, перец белый горошком, перец душистый, перец красный Чили),  декстроза, клетчатка растительная, усилитель вкуса и аромата Е 621,  экстракт кардамона,  соль, антиокислитель (Е 301).</t>
  </si>
  <si>
    <t>15-16 грамм 
на 1 кг основного сырья</t>
  </si>
  <si>
    <t>V Салями СК Ароматная</t>
  </si>
  <si>
    <t>Комплексная пищевая добавка для ароматных сырокопчёных/сыровяленых колбас: создаёт богатый пряный букет и «премиальный» аромат. Профиль — чеснок, перец, мускат и кардамон, дополненные трюфельной нотой.</t>
  </si>
  <si>
    <t>состав: регулятор кислотности Е 575, пряности и экстракты пряностей (перец черный, чеснок,  мускатный орех, кардамон),  декстроза,   усилитель вкуса и аромата Е 621,   лактоза, соль, антиокислитель (Е 301), ароматизатор Трюфель.</t>
  </si>
  <si>
    <t>15 грамм 
на 1 кг основного сырья</t>
  </si>
  <si>
    <t>V Салями СК Пепперони</t>
  </si>
  <si>
    <t>Комплексная пищевая добавка для пепперони и острых салями: формирует характерный «пицца»-профиль и яркую остроту. Вкус — паприка, перцы, чили, масло кориандра, с пряной глубиной имбиря и паприки.</t>
  </si>
  <si>
    <t>состав:  регулятор кислотности Е 575, пряности (паприка, перец черный, перец душистый, перец красный Чили), масло кориандра, экстракты (имбиря, паприки), декстроза (13%), клетчатка растительная, усилитель вкуса и аромата Е 621, соль, антиокислитель (Е 301), ароматизатор.</t>
  </si>
  <si>
    <t>16-18 грамм 
на 1 кг основного сырья</t>
  </si>
  <si>
    <t>V Арома Чернослив</t>
  </si>
  <si>
    <t>Комплексная пищевая добавка для колбас с нотами чернослива: придаёт изделию мягкий сладковато-копчёный оттенок и выразительную фруктовую ароматику. Профиль — чернослив + пряный фон белого перца и муската, аккуратно и благородно.</t>
  </si>
  <si>
    <t>состав:  регулятор кислотности (Е575), пряности (перец черный, чеснок), декстроза, мальтодекстрин, ароматизатор Чернослив, усилитель вкуса и аромата (Е621), экстракты (перца белого, мускатного ореха),  антиокислитель аскорбиновая кислота, соль.</t>
  </si>
  <si>
    <t>Микс Колбаски "Классические"</t>
  </si>
  <si>
    <t>Комплексная добавка для рубленых полуфабрикатов (колбаски, котлеты, пельмени): формирует классический мясной вкус и аромат, помогает получить стабильный результат в готовке. Профиль — базилик, чабер и тмин с чёрным перцем, «как в хорошей классике».</t>
  </si>
  <si>
    <t>состав: пряности и экстракты пряностей (базилик, перец черный, чабер, тмин ), стабилизатор (Е 451i), соль поваренная (17%), ароматизатор, декстроза, усилитель вкуса и аромата Е 621 (8 %), регулятор кислотности (Е262ii), антиокислитель Е316.</t>
  </si>
  <si>
    <t>18 г
на 1 кг основного сырья</t>
  </si>
  <si>
    <t>Комплексные пищевые добавки для рубленых полуфабрикатов (колбасок, пельменей, котлет)</t>
  </si>
  <si>
    <t>Микс Колбаски "Ароматные"</t>
  </si>
  <si>
    <t>Комплексная добавка для рубленых полуфабрикатов: подчёркивает мясной вкус, делает аромат ярче и богаче. Профиль — чеснок, кориандр, тмин, душистый перец и лавровый лист, с насыщенной «мясной» нотой в послевкусии.</t>
  </si>
  <si>
    <t>состав: волокна растительные, загуститель (Е 1422), специи (чеснок сушеный гранулированный, перец черный, тмин, кориандр, перец душистый, лавровый лист), регуляторы кислотности (Е 331, Е 330), усилитель вкуса и аромата (Е 621), ароматизатор Мясо, декстроза</t>
  </si>
  <si>
    <t>23-25 грамма
на 1 кг основного сырья</t>
  </si>
  <si>
    <t>Микс Колбаски "Венгерские"</t>
  </si>
  <si>
    <t>Комплексная добавка для рубленых полуфабрикатов в венгерском стиле: даёт яркий цвет и пряный аромат, подчёркивает «папричный» профиль. Вкус — сладкая паприка + чеснок, перец и чили, с лёгкой дымной нотой.</t>
  </si>
  <si>
    <t>состав: волокна растительные, загуститель (Е 1422), специи (паприка красная сладкая, чеснок сушеный гранулированный, перец черный, перец красный Чили, зелень петрушки сушеная), регуляторы кислотности (Е 331, Е 330), усилитель вкуса и аромата (Е 621), ароматизатор Дым, декстроза</t>
  </si>
  <si>
    <t>Микс Колбаски "Балканские"</t>
  </si>
  <si>
    <t>Комплексная пищевая добавка для рубленых полуфабрикатов: формирует узнаваемый балканский пряный профиль и насыщенный аромат. Профиль — чёрный перец, базилик, чабер и тмин, с выразительным пряным послевкусием.</t>
  </si>
  <si>
    <t>состав: пряности (перец черный, базилик, чабер, тмин ), стабилизатор (Е 451i), соль поваренная, декстроза, усилитель вкуса и аромата Е 621 (17 %), антиокислитель Е 316</t>
  </si>
  <si>
    <t>10 г
на 1 кг основного сырья</t>
  </si>
  <si>
    <t>Ароматная Комплект Грибная</t>
  </si>
  <si>
    <t>Комплексная пищевая добавка для рубленых полуфабрикатов и колбас с грибным профилем: добавляет сочности и стабильности, формирует яркий грибной аромат. Вкус — «жареные грибы» с пряностями (лук, перец, укроп), насыщенно и аппетитно.</t>
  </si>
  <si>
    <t>состав: специи и пряности (лук, перец черный, укроп), грибы сушеные молотые,   влагоудерживающий агент (Е 450i), крахмал кукурузный, декстроза, усилитель вкуса и аромата (Е621), регулятор кислотности (Е262), соль пищевая</t>
  </si>
  <si>
    <t>до 20 г
на 1 кг основного сырья</t>
  </si>
  <si>
    <t>Микс "Деликатесная"</t>
  </si>
  <si>
    <t>Комплексная пищевая добавка для рубленых полуфабрикатов: помогает сформировать плотную, сочную структуру и даёт «деликатесный» пряный профиль. Вкус — тёплый и пряный: лук, тмин, чёрный перец и сумах, с аппетитной восточной ноткой.</t>
  </si>
  <si>
    <t>состав:  растительная клетчатка, пряности (лук сушеный, тмин, перец черный, сумах), крахмал кукурузный, соль поваренная, усилитель вкуса и аромата Е621</t>
  </si>
  <si>
    <t>20-25 г/кг                                основного сырья</t>
  </si>
  <si>
    <t>V Арома Пикантная</t>
  </si>
  <si>
    <t>Комплексная пищевая добавка для рубленых полуфабрикатов: усиливает вкус, добавляет сочность и яркий аромат специй. Профиль — перец, чеснок и имбирь с соевым оттенком: пикантно, современно, с приятным послевкусием.</t>
  </si>
  <si>
    <t>состав: волокна растительные, влагоудерживающий агент Е450i, специи и экстракты специй (перец черный, чеснок, имбирь), рисовая мука, сахар, усилитель вкуса и аромата Е621, соль, загуститель (Е412), ароматизатор (соевый соус)</t>
  </si>
  <si>
    <t>до 20 г/кг фаршемассы</t>
  </si>
  <si>
    <t>V Томат Эффект</t>
  </si>
  <si>
    <t>Комплексная пищевая добавка для томатной основы/пасты: придаёт насыщенный томатный вкус, яркий цвет и стабильную консистенцию после гидратации. Идеальна для соусов и томатных компонентов, где важны плотность, ровность и «томатная полнота».</t>
  </si>
  <si>
    <t>состав: волокна пищевые, сахар, загустители (Е1422, Е412), томаты сушеные, регулятор кислотности (Е500), ароматизатор, краситель (экстракт паприки)</t>
  </si>
  <si>
    <t>гидратация 1:4</t>
  </si>
  <si>
    <t>Комплексные пищевые добавки для томатной пасты</t>
  </si>
  <si>
    <t>Комплексная пищевая добавка для варёных колбас по профилю ГОСТ: обеспечивает стабильную эмульсию, сочность и аккуратный классический срез. Вкус — деликатный «докторский» с нотами муската, кардамона и белого перца.</t>
  </si>
  <si>
    <t>состав:  регуляторы кислотности (Е450iii, Е451i), усилитель вкуса и аромата (Е621), декстроза, соль, пряности и экстракты пряностей (мускатный орех, кардамон, перец белый), антиокислитель Е 301</t>
  </si>
  <si>
    <t>9-10 г на 1 кг фаршемассы</t>
  </si>
  <si>
    <t>Комплексная пищевая добавка для варёных колбас по профилю ГОСТ: стабилизирует фарш, улучшает текстуру и сохраняет сочность. Вкус — яркий, мясной, с чесночной нотой и классическим перечным букетом.</t>
  </si>
  <si>
    <t>состав:  регуляторы кислотности (Е450iii, Е451i), усилитель вкуса и аромата (Е621), декстроза, соль, ароматизатор, пряности и экстракты пряностей (чеснок,  черный перец, душистый перец, кориандр), антиокислитель Е 301</t>
  </si>
  <si>
    <t>10 г на 1 кг фаршемассы</t>
  </si>
  <si>
    <t>Комплексная пищевая добавка для варёных колбас по профилю ГОСТ: даёт плотную структуру, стабильный срез и сочную текстуру. Вкус — насыщенный и пряный, с чесноком, мускатом и выразительной перечной нотой.</t>
  </si>
  <si>
    <t>состав: специи и экстракты специй (чеснок, мускатный орех, перец черный, перец душистый, перец красный Чили), влагоудерживающий агент Е450iii, регулятор кислотности Е451i,  мальтодекстрин, декстроза,  усилитель вкуса и аромата Е621,  соль пищевая, антиокислитель Е301.</t>
  </si>
  <si>
    <t>Комплексная пищевая добавка для варёных колбас по профилю ГОСТ: формирует стабильную структуру и классическую нежность изделия. Вкус — тёплый мускатно-пряный, с кардамоном и чёрным перцем.</t>
  </si>
  <si>
    <t>состав:  регуляторы кислотности (Е450iii, Е451i), декстроза, усилитель вкуса и аромата (Е621), соль, пряности и экстракты пряностей (мускатный орех, перец черный, кардамон), антиокислитель Е 301</t>
  </si>
  <si>
    <t>Комплексная пищевая добавка для венских сосисок по профилю ГОСТ: обеспечивает упругую текстуру, сочность и стабильное качество. Профиль — пряный и выразительный: кардамон и мускат, перцы и лёгкая коптильная нота.</t>
  </si>
  <si>
    <t>состав:  регуляторы кислотности (Е450iii, Е451i), усилитель вкуса и аромата (Е621),  соль, декстроза, молоко сухое,  пряности и экстракты пряностей (перец черный, кардамон, мускатный орех, перец красный, перец белый), антиокислитель Е 301, ароматизатор коптильный.</t>
  </si>
  <si>
    <t>V Арома Паштет Сливочный</t>
  </si>
  <si>
    <t>Комплексная пищевая добавка для паштетов и ливерных изделий со сливочным профилем: делает вкус мягким, округлым и «намазываемым», с нежной сливочной нотой. Аромат — деликатный пряный, подчёркивающий мясную основу без резкости.</t>
  </si>
  <si>
    <t xml:space="preserve">СОСТАВ: специи и экстракты специй (лук сушеный, мускатный орех, перец черный, перец белый), мальтодекстрин, сыворотка сухая молочная, декстроза, лактоза, соль пищевая, ароматизатор. </t>
  </si>
  <si>
    <t>до 15 г/кг фаршемассы</t>
  </si>
  <si>
    <t>для паштетов и ливерных колбас</t>
  </si>
  <si>
    <t>V Арома Паштет Грибной</t>
  </si>
  <si>
    <t>Комплексная пищевая добавка для паштетов и ливерных изделий с грибным профилем: формирует насыщенный «грибной» вкус и аромат, делает профиль более аппетитным и глубоким. Ноты — лук, укроп, имбирь и мускат в фоне, ровно и богато.</t>
  </si>
  <si>
    <t>СОСТАВ: специи и экстракты специй (лук сушеный, перец черный, имбирь, укроп, мускатный орех), мальтодекстрин, лактоза, декстроза, сыворотка сухая молочная, ароматизатор, соль пищевая.</t>
  </si>
  <si>
    <t>V Арома Паштет Ореховый</t>
  </si>
  <si>
    <t>Комплексная пищевая добавка для паштетов и ливерных изделий с ореховым акцентом: создаёт благородный вкус с лёгкой ореховой нотой и тёплой пряностью. Профиль — кунжут и пажитник в сочетании с перцем и мускатом.</t>
  </si>
  <si>
    <t>СОСТАВ: специи и экстракты специй (лук сушеный, перец черный, пажитник, мускатный орех, семя кунжута), мальтодекстрин, сыворотка сухая молочная, лактоза, ароматизатор, соль пищевая, декстроза.</t>
  </si>
  <si>
    <t>V Арома Паштет Луковый</t>
  </si>
  <si>
    <t>Комплексная пищевая добавка для паштетов и ливерных изделий с луковым профилем: даёт яркий, «обжаренный» луковый акцент и усиливает мясной вкус. Аромат — тёплый и домашний, с пряными нотами муската и белого перца.</t>
  </si>
  <si>
    <t>СОСТАВ: специи и экстракты специй (лук сушеный, перец черный, мускатный орех, перец белый), мальтодекстрин, сыворотка сухая молочная, лактоза, декстроза, соль пищевая, олеорезин жареного лука.</t>
  </si>
  <si>
    <t>V Арома Паштет с паприкой</t>
  </si>
  <si>
    <t>Комплексная пищевая добавка для паштетов и ливерных изделий с папричным профилем: придаёт мягкую сладковатую паприку и более яркий, аппетитный аромат. Вкус — тёплый, с пряным фоном чёрного и белого перца и муската.</t>
  </si>
  <si>
    <t>СОСТАВ: специи и экстракты специй (паприка красная сладкая, перец черный, мускатный орех, перец белый), мальтодекстрин, сыворотка молочная сухая, декстроза, соль пищевая, олеорезин паприки.</t>
  </si>
  <si>
    <t>V Арома Паштет Ароматный</t>
  </si>
  <si>
    <t>Комплексная пищевая добавка для паштетов и ливерных изделий с пряным профилем: делает вкус более насыщенным и «деликатесным». Профиль — чеснок, имбирь и кардамон в аромате, с чистым мясным послевкусием.</t>
  </si>
  <si>
    <t>СОСТАВ: специи и экстракты специй (чеснок сушеный, перец черный, кардамон, имбирь), мальтодекстрин, соль пищевая, сыворотка сухая молочная, декстроза.</t>
  </si>
  <si>
    <t>"V Арома Паштет с томатами"</t>
  </si>
  <si>
    <t>Комплексная пищевая добавка для паштетов и ливерных изделий с томатной нотой: даёт лёгкий томатный акцент и усиливает общую аппетитность вкуса. В аромате — томаты и пряный фон перцев с мускатной теплотой.</t>
  </si>
  <si>
    <t>СОСТАВ: специи и экстракты специй (томаты сушеные, перец черный, мускатный орех, перец белый), мальтодекстрин, сыворотка молочная сухая, декстроза, соль пищевая, ароматизатор.</t>
  </si>
  <si>
    <t>Комплексная пищевая добавка для молочных сосисок по профилю ГОСТ: обеспечивает нежную текстуру, сочность и стабильный светлый срез. Вкус — мягкий, молочный, с тонкими пряными нотами муската и кориандра.</t>
  </si>
  <si>
    <t>состав:  регуляторы кислотности (Е450iii, Е451i), молоко сухое, соль, декстроза, усилитель вкуса и аромата (Е621), ароматизатор,  экстракты пряностей (мускатный орех, перец черный, кориандр), антиокислитель Е 301</t>
  </si>
  <si>
    <t>Комплексные вкусоароматические добавки</t>
  </si>
  <si>
    <t>Комплексная пищевая добавка для полукопчёных колбас по профилю ГОСТ: помогает сформировать плотный срез и стабильную структуру, подчёркивает классический «московский» вкус. Профиль — мускат, кориандр, перцы и кардамон, ровно и выразительно.</t>
  </si>
  <si>
    <t>состав:  специи и экстракты специй (чеснок, мускатный орех, кориандр, перец черный, перец белый, кардамон), соль пищевая, декстроза, усилитель вкуса и аромата Е621, антиокислитель Е301</t>
  </si>
  <si>
    <t xml:space="preserve">8 г на 1 кг фаршемассы
</t>
  </si>
  <si>
    <t xml:space="preserve"> Комплексные пищевые добавки для полукопченных колбас</t>
  </si>
  <si>
    <t>V ПК Таллинская</t>
  </si>
  <si>
    <t>Комплексная пищевая добавка для полукопчёных колбас по профилю ГОСТ: формирует пряный аромат и стабильный вкус изделия. Профиль — перцы, розмарин и корица, с выразительной «европейской» пряностью.</t>
  </si>
  <si>
    <t>состав:  специи и экстракты специй (перец черный, перец красный сладкий, перец душистый, корица, розмарин), декстроза, усилитель вкуса и аромата Е621, соль пищевая, антиокислители Е300, Е301</t>
  </si>
  <si>
    <t>Комплексная пищевая добавка для полукопчёных колбас по профилю ГОСТ: задаёт узнаваемый «украинский» профиль и усиливает аромат. Ноты — чеснок, тмин и мускат, с перечной базой и ярким послевкусием.</t>
  </si>
  <si>
    <t xml:space="preserve">состав:  специи и экстракты специй (чеснок, перец черный, горчичный порошок, мускатный орех, тмин), усилитель вкуса и аромата Е621, декстроза, соль пищевая, антиокислитель Е301.
</t>
  </si>
  <si>
    <t>Комплексная пищевая добавка для полукопчёных колбас по профилю ГОСТ: даёт классический «краковский» вкус и аромат, подчёркивает мясной профиль. Ноты — чёрный перец, чеснок и кориандр, чисто и уверенно.</t>
  </si>
  <si>
    <t>состав: специи и экстракты специй (перец черный, чеснок, кориандр), усилитель вкуса и аромата Е621, декстроза, антиокислитель Е301</t>
  </si>
  <si>
    <t xml:space="preserve">V ПК Краковская </t>
  </si>
  <si>
    <t>Комплексная пищевая добавка для полукопчёных колбас: усиливает вкус и аромат, добавляет «мясную глубину» за счёт дрожжевого экстракта и пряного букета. Профиль — горчичная нота + чеснок и перцы, с выраженным послевкусием.</t>
  </si>
  <si>
    <t>состав: носители (мальтодекстрин, соль), горчичный порошок, усилитель вкуса и аромата глутамат натрия (Е621), сахар, дрожжевой экстракт, экстракты специй (перца душистого, перца черного, чеснока)</t>
  </si>
  <si>
    <t>8 грамм 
на 1 кг фаршемассы</t>
  </si>
  <si>
    <t>V Арома Грибная</t>
  </si>
  <si>
    <t>Комплексная пищевая добавка для колбасных изделий с грибной нотой: формирует глубокий аромат и «деликатесный» вкус с трюфельным оттенком. Профиль — пряности в фоне и яркая грибная ароматика для премиального восприятия.</t>
  </si>
  <si>
    <t>состав: декстроза (34%), специи и экстракты специй (кориандр, перец черный, перец белый, базилик), соль пищевая,  дрожжевой экстракт, ароматизатор Трюфель</t>
  </si>
  <si>
    <t>10 г на кг сырья</t>
  </si>
  <si>
    <t>комплексная пищевая добавка для производства колбасных изделий</t>
  </si>
  <si>
    <t>V Арома Барокко</t>
  </si>
  <si>
    <t>Комплексная пищевая добавка для сырокопчёных/сыровяленых колбас и мясных продуктов: создаёт яркий пряный профиль с «дымным» характером. Вкус — чеснок и орегано, перец и кориандр, с аккуратной коптильной нотой.</t>
  </si>
  <si>
    <t>состав: специи (перец, чеснок, орегано), экстракты специй (кориандр), усилитель вкуса и аромата Е621 (6%), сахара, соль,  антиокислитель Е300, ароматизатор (дым)</t>
  </si>
  <si>
    <t>до 15 г/кг мясного сырья</t>
  </si>
  <si>
    <t>комплексная пищевая добавка для производства сырокопченых и сыровяленых  колбасных изделий, продуктов из мяса</t>
  </si>
  <si>
    <t>Комплексная пищевая добавка для мясных продуктов и рубленых полуфабрикатов: даёт яркую пряность и «деликатесный» характер, усиливает общую насыщенность вкуса. Профиль — перец, майоран, мацис и фенхель, с лёгкой дымной нотой.</t>
  </si>
  <si>
    <t>состав: сахара, специи и экстракты (перец, майоран, мацис, фенхель), соль, усилитель вкуса и аромата Е621(7%), антиокислители (Е300, Е301) ароматизатор (дым)</t>
  </si>
  <si>
    <t>до 20 г/кг мясного сырья</t>
  </si>
  <si>
    <t>комплексная пищевая добавка для производства рубленых полуфабрикатов</t>
  </si>
  <si>
    <t>V Арома Брауншвейгская</t>
  </si>
  <si>
    <t>Комплексная пищевая добавка для колбасных изделий с «салями»-профилем: формирует яркий деликатесный аромат и выразительное послевкусие. Профиль — душистый перец, чеснок и мускат, с трюфельной/салями нотой для премиального эффекта.</t>
  </si>
  <si>
    <t>состав: приправы и экстракты приправ (перец душистый, чеснок, мускатный орех), усилитель вкуса и аромата Е 621 (20%), сахара, соль, ароматизаторы (салями, трюфель)</t>
  </si>
  <si>
    <t>до 10 г/кг мясного сырья</t>
  </si>
  <si>
    <t xml:space="preserve">V Арома Венгерская </t>
  </si>
  <si>
    <t>Комплексная пищевая добавка для мясопродуктов в венгерском стиле: задаёт яркий цвет и пряный аромат, подчёркивает папричный профиль. Вкус — паприка и перец, лук и специи, с лёгкой «дымной» глубиной.</t>
  </si>
  <si>
    <t>состав: сахара 32% (декстроза, сахароза), специи (перец, паприка, лук), экстракты специй (паприка, перец), усилитель вкуса и аромата Е621 (10%), регулятор кислотности Е262</t>
  </si>
  <si>
    <t>комплексная пищевая добавка для производства мясопродуктов</t>
  </si>
  <si>
    <t xml:space="preserve">Салями СК Пряная </t>
  </si>
  <si>
    <t>Комплексная пищевая добавка для мясопродуктов с выраженной пряностью: делает вкус насыщенным и ярким, с «перечным» характером. Профиль — белый перец, кайенский перец, чили и паприка, с плотным жгуче-пряным послевкусием.</t>
  </si>
  <si>
    <t>состав: приправы и экстракты приправ (белый перец, кайенский перец, чили, паприка), сахара 37% (декстроза), соль (14%), усилитель вкуса и аромата Е621 (9%), антиокислитель Е316 (5%)</t>
  </si>
  <si>
    <t xml:space="preserve">V Арома Палермо </t>
  </si>
  <si>
    <t>Комплексная пищевая добавка для мясопродуктов с «салями»-профилем: формирует богатый аромат и узнаваемую пряную ноту. Профиль — мясо/салями + лёгкая коптильность, лук и пряный фон муската, белого перца и чеснока.</t>
  </si>
  <si>
    <t>Cостав: декстроза, мальтодекстрин, соль поваренная,  усилитель вкуса и аромата Е 621, ароматизаторы (Мясо, Салями), ароматизатор коптильный, лук, экстракты специй (мускатного ореха, перца белого, чеснока)</t>
  </si>
  <si>
    <t xml:space="preserve">Салями СК с можжевеловой ягодой </t>
  </si>
  <si>
    <t>Комплексная пищевая добавка для мясопродуктов с можжевеловым акцентом: придаёт характерный «лесной» аромат и пряную глубину вкуса. Профиль — можжевельник, кориандр, чеснок и перцы, выразительно и чисто.</t>
  </si>
  <si>
    <t>состав: декстроза, мальтодекстрин, специи и экстракты специй (перец, кориандр, чеснок, можжевеловая ягода), соль, усилитель вкуса и аромата Е621 (9%), антиокислитель Е301</t>
  </si>
  <si>
    <t>12 г/кг сырья</t>
  </si>
  <si>
    <t xml:space="preserve">V Арома Пикник </t>
  </si>
  <si>
    <t>Комплексная пищевая добавка для мясопродуктов с «пикниковым» профилем: создаёт аппетитный аромат запечённого/копчёного мяса и усиливает общий вкус. Профиль — травы и специи (розмарин, сельдерей, чеснок), с коптильной нотой и глубиной дрожжевого экстракта.</t>
  </si>
  <si>
    <t>состав: экстракт дрожжей, специи и  экстракты специй (сельдерей, чеснок, лук, петрушка, лавровый лист, розмарин), сахар, соль, ароматизатор коптильный.</t>
  </si>
  <si>
    <t>до 15 г/кг продукта</t>
  </si>
  <si>
    <t xml:space="preserve">V Арома Деликатная </t>
  </si>
  <si>
    <t>Вкусоароматическая пищевая добавка для рассолов с профилем «бекон/деликатес»: усиливает аромат готового продукта и добавляет выразительность вкусу после термообработки. Профиль — бекон и лёгкая коптильность, с тёплой мускатно-перечной ноткой.</t>
  </si>
  <si>
    <t xml:space="preserve"> мальтодекстрин, декстроза, усилитель вкуса и аромата Е 621 (20%), соль поваренная, ароматизатор Бекон, ароматизатор коптильный, экстракты специй (мускатного ореха, перца черного)</t>
  </si>
  <si>
    <t>4-5 г/кг продукта</t>
  </si>
  <si>
    <t>вкусоароматическая  пищевая добавка для рассолов</t>
  </si>
  <si>
    <t>Вкусоароматическая пищевая добавка для рассолов с пряно-перечным профилем: даёт яркую ароматику и насыщенное послевкусие в готовом продукте. Профиль — чёрный перец, чеснок, чили и имбирь, с лёгкой коптильной нотой.</t>
  </si>
  <si>
    <t>мальтодекстрин, декстроза, усилитель вкуса и аромата Е 621 (20%), соль поваренная, ароматизатор Мясо, ароматизатор коптильный, экстракты пряностей (перца черного, чеснока, перца Чили, имбиря)</t>
  </si>
  <si>
    <t>V Арома Свинина</t>
  </si>
  <si>
    <t>Комплексная пищевая добавка для мясных продуктов со вкусом свинины: усиливает мясной профиль и делает вкус более округлым и насыщенным. Профиль — свинина + олеорезины перцев и мускат, с чистым ароматом и ярким послевкусием.</t>
  </si>
  <si>
    <t>усилитель вкуса и аромата Е621, мальтодекстрин, ароматизатор свинины, декстроза, олеорезины: черного перца, душистого перца, мускатного ореха; соль, сахар.</t>
  </si>
  <si>
    <t>до 5 г/кг продукта</t>
  </si>
  <si>
    <t>комплексная пищевая добавка, предназначенная для изготовления мясных продуктов</t>
  </si>
  <si>
    <t>V Сервелат Юбилейный</t>
  </si>
  <si>
    <t>Комплексная пищевая добавка для мясных продуктов и сервелатного профиля: усиливает вкус, добавляет пряный аромат и «деликатесную» насыщенность. Профиль — салями-нота, перец и лук, с чесночным шлейфом и выраженным послевкусием.</t>
  </si>
  <si>
    <t>Усилитель вкуса и аромата: глутамат натрия Е621, ароматизатор салями, перец, лук, антиокислитель: эриторбат натрия Е316; чеснок, соль, гидролизованный растительный белок, гидрогенизированный растительный жир (рапсовый)</t>
  </si>
  <si>
    <t>7 г/кг продукта</t>
  </si>
  <si>
    <t>Сервелат ВК Комби</t>
  </si>
  <si>
    <t>Комплексная пищевая добавка для колбасных изделий и полуфабрикатов: формирует стабильный вкус и пряный аромат, добавляет глубину и «мясную полноту». Профиль — кориандр, тмин и горчица, с дрожжевым экстрактом для более насыщенного восприятия.</t>
  </si>
  <si>
    <t>Декстроза, мальтодекстрин, регулятор кислотности Е575, соль, специи (кориандр, тмин семена, горчица), экстракты натуральных специй (черный перец, кориандр), антиокислители (Е300, Е301), дрожжевой экстракт</t>
  </si>
  <si>
    <t>5-15 г/кг продукта</t>
  </si>
  <si>
    <t>комплексная пищевая добавка для производства колбасных изделий и полуфабрикатов.</t>
  </si>
  <si>
    <t>V Арома для холодца с хреном</t>
  </si>
  <si>
    <t>Вкусоароматическая пищевая добавка для холодцов, заливных и мясных блюд: даёт яркий хреновый акцент и пряный аромат, делает вкус «домашним» и выразительным. Профиль — хрен, тмин и чёрный перец, с травяной нотой лавра.</t>
  </si>
  <si>
    <t>мальтодекстрин, декстроза,  соль поваренная, усилитель вкуса и аромата (Е621), специи и экстракты пряностей (хрен, перец черный, тмин, лавровый лист), вкусоароматические вещества,  регулятор кислотности (Е330).</t>
  </si>
  <si>
    <t>до 10 г/кг продукта</t>
  </si>
  <si>
    <t>вкусоароматическая пищевая добавка для использования в пищевой промышленности</t>
  </si>
  <si>
    <t>Для снеков  "Грибная"</t>
  </si>
  <si>
    <t>Комплексная пищевая добавка для снэков со вкусом грибов: формирует насыщенный грибной аромат и аппетитный «жареный» профиль. Профиль — шампиньоны и лук, с акцентом на аромат белых грибов для более яркого впечатления.</t>
  </si>
  <si>
    <t>мальтодекстрин,  сыворотка сухая молочная, грибы шампиньоны сушеные, соль пищевая, сахар, лук сушеный, усилитель вкуса и аромата Е621, ароматизатор (белые грибы)</t>
  </si>
  <si>
    <t>дозировка «по вкусу»</t>
  </si>
  <si>
    <t>комплексная пищевая добавка для производства снэков</t>
  </si>
  <si>
    <t>Для снеков  "С беконом"</t>
  </si>
  <si>
    <t>Комплексная пищевая добавка для снэков со вкусом бекона: даёт узнаваемый аромат и «мясную» насыщенность, усиливает аппетитность продукта. Профиль — бекон и лёгкая коптильность, с тёплой папричной нотой.</t>
  </si>
  <si>
    <t>мальтодекстрин, сыворотка сухая молочная, соль пищевая, сахар, паприка сладкая, усилитель вкуса и аромата Е621, ароматизаторы (бекон, дым)</t>
  </si>
  <si>
    <t>Для снеков "С томатами и зеленью"</t>
  </si>
  <si>
    <t>Комплексная пищевая добавка для снэков с томатно-травяным профилем: создаёт яркий вкус томатов и свежую зелёную ноту. Профиль — томаты + укроп и петрушка, ровный аромат и «сочный» вкус в послевкусии.</t>
  </si>
  <si>
    <t xml:space="preserve"> томаты сушеные, мальтодекстрин, декстроза, соль пищевая, зелень сушеная (укроп, петрушка), усилитель вкуса и аромата Е621, ароматизатор (томат)</t>
  </si>
  <si>
    <t>Для снеков "Чесночная"</t>
  </si>
  <si>
    <t>Комплексная пищевая добавка для снэков с чесночным профилем: даёт яркий чесночный аромат и насыщенный вкус, хорошо раскрывается в сухих покрытиях. Профиль — чеснок + укроп, с натуральным чесночным экстрактом для чистой ароматики.</t>
  </si>
  <si>
    <t>мальтодекстрин, чеснок сушеный, сыворотка сухая молочная, укроп сушеный, соль пищевая, сахар,  усилитель вкуса и аромата Е621, натуральный экстракт чеснока</t>
  </si>
  <si>
    <t>Для снеков "Со сметаной и луком"</t>
  </si>
  <si>
    <t>Комплексная пищевая добавка для снэков со вкусом сметаны и лука: формирует сливочно-кисловатый профиль и яркую луковую ноту. Профиль — сметана и лук, с дрожжевым экстрактом для более «объёмного» вкуса.</t>
  </si>
  <si>
    <t>сыворотка сухая молочная,  лук-порей молотый, соль, декстроза, мальтодекстрин, лактоза, ароматизаторы (лук, сметана), усилитель вкуса и аромата Е621, экстракт дрожжей, антислеживающий агент Е551.</t>
  </si>
  <si>
    <t>Для снеков "С сыром"</t>
  </si>
  <si>
    <t>Комплексная пищевая добавка для снэков со вкусом сыра: даёт насыщенный сырно-сливочный профиль и выраженное послевкусие. Профиль — сыр и сливки с пряным фоном пажитника и чёрного перца, «как у настоящего сырного вкуса».</t>
  </si>
  <si>
    <t>сыворотка сухая молочная, декстроза, соль, мальтодекстрин, лактоза, ароматизаторы (сыр, сливки), усилитель вкуса и аромата Е621, пряности (пажитник, черный перец), экстракт дрожжей, антислеживающий агент Е551.</t>
  </si>
  <si>
    <t>Для снеков "С зеленью"</t>
  </si>
  <si>
    <t>Комплексная пищевая добавка для снэков с травяным профилем: формирует «свежую» зелёную ароматику и приятное послевкусие. Профиль — укроп, базилик и петрушка, усиленный натуральными экстрактами трав.</t>
  </si>
  <si>
    <t>мальтодекстрин, декстроза, соль пищевая, зелень сушеная (укроп, базилик, петрушка), усилитель вкуса и аромата Е621, экстракты натуральные (базилик, петрушка)</t>
  </si>
  <si>
    <t>Для снеков "С креветкой"</t>
  </si>
  <si>
    <t>Комплексная пищевая добавка для снэков со вкусом креветки: даёт яркую морскую ароматику и узнаваемый «креветочный» профиль. Хорошо раскрывается в сухих приправах и покрытиях, создавая насыщенный вкус и аромат.</t>
  </si>
  <si>
    <t>мальтодекстрин, декстроза, соль пищевая, усилитель вкуса и аромата Е621, вкусоароматические вещества</t>
  </si>
  <si>
    <t>Функциональные пищевые смеси</t>
  </si>
  <si>
    <t xml:space="preserve">V МитМикс
</t>
  </si>
  <si>
    <t>Фосфаты и смеси для куттерования
смесь фосфатов и гидроколлоидов для улучшения структурно-механических свойств и снижения себестоимости готового продукта</t>
  </si>
  <si>
    <t>состав: регуляторы кислотности (Е450iii, Е451i), мальтодекстрин, загустители (Е412, Е415)</t>
  </si>
  <si>
    <t>4-7 грамм 
на 1 кг фаршемассы</t>
  </si>
  <si>
    <t>рубленые мясные полуфабрикаты, колбасные изделия</t>
  </si>
  <si>
    <t xml:space="preserve">V Мит Комплект
</t>
  </si>
  <si>
    <t>состав: регуляторы кислотности (Е450iii, Е451i), стабилизатор (Е407а), антиокислитель (Е316), загуститель (Е412), желирующий агент (Е508)</t>
  </si>
  <si>
    <t>5-7 грамм
 на 1 кг фаршемассы</t>
  </si>
  <si>
    <t>полукопченая колбаса
варено-копченая колбаса</t>
  </si>
  <si>
    <t xml:space="preserve">V Мит Комби 
</t>
  </si>
  <si>
    <t>состав: регуляторы кислотности (Е450iii, Е451i), стабилизатор (Е407а), антиокислитель (Е316), желирующий агент (Е508), загуститель (Е425)</t>
  </si>
  <si>
    <t>5-8 грамм
 на 1 кг фаршемассы</t>
  </si>
  <si>
    <t>вареная колбаса</t>
  </si>
  <si>
    <t>V Эмультек</t>
  </si>
  <si>
    <t>смесь эмульгаторов для предотвращения бульонно-жировых отеков, для приготовления эмульсий</t>
  </si>
  <si>
    <t>состав: моно- и диглицериды жирных кислот (Е471, Е472с), растительная клетчатка, животный белок, загустители (Е412, Е415)</t>
  </si>
  <si>
    <t>6-10 грамм
 на 1 кг фаршемассы;   эмульсия 1:10:10 (КПД:жир:вода)</t>
  </si>
  <si>
    <t>вареная колбаса  
варенокопченая колбаса
полукопченая колбаса    жировые эмульсии</t>
  </si>
  <si>
    <t>V Эмультек 2</t>
  </si>
  <si>
    <t>смесь на основе альгинатов для приготовления жировых эмульсий</t>
  </si>
  <si>
    <t>состав: загуститель (Е401), уплотнитель (Е516), животный белок, пшеничные волокна,  регуляторы кислотности (Е450iii, Е451i)</t>
  </si>
  <si>
    <t xml:space="preserve">
1:10:10
1:10:20
добавка:жирное сырье:вода</t>
  </si>
  <si>
    <t>искусственный шпик жировые эмульсии</t>
  </si>
  <si>
    <t xml:space="preserve"> V Эмультек 3 </t>
  </si>
  <si>
    <t>смесь эмульгаторов  для приготовления эмульсии из шкурки</t>
  </si>
  <si>
    <t>состав: регуляторы кислотности (Е450iii, Е451i), загуститель (Е412), эмульгатор (Е471)</t>
  </si>
  <si>
    <t>1:50:50
добавка:шкурка:вода</t>
  </si>
  <si>
    <t>эмульсии из шкурки</t>
  </si>
  <si>
    <t>Эмультек ВС</t>
  </si>
  <si>
    <t>Смеси на основе эмульгаторов,  загуститель для фарша</t>
  </si>
  <si>
    <t>Волокна растительные, крахмал кукурузный, сыворотка сухая молочная, загустители (Е 412, Е 415).</t>
  </si>
  <si>
    <t>12-13 г на кг фаршемассы</t>
  </si>
  <si>
    <t>колбасные изделия,                           рубленые полуфабрикаты</t>
  </si>
  <si>
    <t>V Эмультек Паштет</t>
  </si>
  <si>
    <t>смесь эмульгаторов для предотвращения бульонно-жировых отеков,  увеличения выхода готового продукта, уменьшения потерь при термообработке</t>
  </si>
  <si>
    <t>состав: эмульгаторы (Е471, Е472с), растительные волокна, загустители (Е412, Е415)</t>
  </si>
  <si>
    <t>15-20 грамм
 на 1 кг фаршемассы</t>
  </si>
  <si>
    <t>ливерные колбасы
паштеты                            рубленые полуфабрикаты</t>
  </si>
  <si>
    <t>V МитСтаб 10</t>
  </si>
  <si>
    <t xml:space="preserve"> Смеси для увеличения стабильности мясных систем, уплотнитель и улучшитель консистенции</t>
  </si>
  <si>
    <t>состав: растительные волокна, загустители (Е407, Е412), сахара, желирующий агент</t>
  </si>
  <si>
    <t>15-30 грамм
 на 1 кг фаршемассы</t>
  </si>
  <si>
    <t>вареные колбасы
варенокопченая колбаса
полукопченая колбаса      рубленые полуфабрикаты</t>
  </si>
  <si>
    <t>V МитСтаб 20</t>
  </si>
  <si>
    <t>Клетчатка бамбуковая, белок яичный, белок говяжий, регуляторы кислотности (Е331iii, Е451i, Е500), соль</t>
  </si>
  <si>
    <t>12-15 г
 на 1 кг фаршемассы</t>
  </si>
  <si>
    <t>все виды колбасных изделий и
рубленые полуфабрикаты</t>
  </si>
  <si>
    <t xml:space="preserve">Клетчатка бамбуковая, белок яичный, белок говяжий, регуляторы кислотности (Е331iii, Е500), соль </t>
  </si>
  <si>
    <t>15-30 г
 на 1 кг фаршемассы</t>
  </si>
  <si>
    <t>Клетчатка растительная,  регуляторы кислотности (Е331iii, Е451i, Е262), антиокислитель (аскорбиновая кислота), соль, пряности</t>
  </si>
  <si>
    <t xml:space="preserve">
рубленые полуфабрикаты</t>
  </si>
  <si>
    <t>V МитСтаб 30</t>
  </si>
  <si>
    <t>состав: загустители (Е407, Е412, Е466), животные белки, желирующий агент (Е508)</t>
  </si>
  <si>
    <t>6-20 грамм
 на 1 кг фаршемассы</t>
  </si>
  <si>
    <t xml:space="preserve">вареная колбаса  
сосиска
варенокопченая колбаса
полукопченая колбаса
ветчина
</t>
  </si>
  <si>
    <t>V МитСтаб 40</t>
  </si>
  <si>
    <t xml:space="preserve"> Смеси для увеличения стабильности мясных систем, уплотнитель и улучшитель консистенции </t>
  </si>
  <si>
    <t>состав: загустители (Е407а, Е412, Е415, Е425, Е466), животный белок, желирующий агент (Е508), соль</t>
  </si>
  <si>
    <t>6-15 грамм
 на 1 кг фаршемассы</t>
  </si>
  <si>
    <t xml:space="preserve">V МитГель </t>
  </si>
  <si>
    <t>КПД для увеличения выхода мясопродуктов, комплексная пищевая добавка для увеличения выхода и стабилизации консервов</t>
  </si>
  <si>
    <t>состав: стабилизаторы (Е407, Е407а), желирующий агент (Е508)</t>
  </si>
  <si>
    <t>от 8 г
 на 1 кг фаршемассы</t>
  </si>
  <si>
    <t>рыбные и мясные консервы</t>
  </si>
  <si>
    <t>V МитГель Оптимал</t>
  </si>
  <si>
    <t>КПД для увеличения выхода мясопродуктов, эмульгатор, загуститель для полуфабрикатов</t>
  </si>
  <si>
    <t>стабилизатор (Е 407), загустители (Е 466, Е 412), клетчатка растительная</t>
  </si>
  <si>
    <t>10-12 грамм
 на 1 кг фаршемассы</t>
  </si>
  <si>
    <t>вареные колбасные изделия
варено-копченая колбаса
полукопченая колбаса, ветчина</t>
  </si>
  <si>
    <t>V МитГель  Супер</t>
  </si>
  <si>
    <t>КПД для увеличения выхода мясопродуктов, комплексная пищевая добавка для увеличения выхода колбасных изделий до 160 %</t>
  </si>
  <si>
    <t>состав: стабилизаторы (Е407, Е407а), загустители (Е425, Е412, Е415), мальтодекстрин, желирующий агент (Е508)</t>
  </si>
  <si>
    <t>6-12 грамм
 на 1 кг фаршемассы</t>
  </si>
  <si>
    <t>V Инъекта для птицы</t>
  </si>
  <si>
    <t>Многофункциональные смеси для шприцевания деликатесной продукции и полуфабрикатов, выход готового продукта до 130 %</t>
  </si>
  <si>
    <t>состав: регуляторы кислотности  (Е451i, Е450iii), изолят соевого белка, стабилизатор (Е407а), сахара, усилитель вкуса (Е621)</t>
  </si>
  <si>
    <t>5-6 кг на 100 литров рассола</t>
  </si>
  <si>
    <t>полуфабрикаты и копчености из мяса птицы</t>
  </si>
  <si>
    <t>V Инъекта  Деликат</t>
  </si>
  <si>
    <t>Многофункциональные смеси для шприцевания деликатесной продукции и полуфабрикатов, выход готового продукта  до 125 %</t>
  </si>
  <si>
    <t>состав: регуляторы кислотности (Е450iii, Е451i), мальтодекстрин, крахмал модифицированный (Е1422), сахара, соль, усилитель вкуса (Е621), загуститель (Е415)</t>
  </si>
  <si>
    <t>5 кг на 100 литров рассола</t>
  </si>
  <si>
    <t>полуфабрикаты из мяса и мяса птицы</t>
  </si>
  <si>
    <t>Многофункциональные смеси для шприцевания деликатесной продукции и полуфабрикатов, выход готового продукта до 140 %</t>
  </si>
  <si>
    <t>регуляторы кислотности (Е 450i, Е 451i, 452ii),  декстроза, стабилизатор (Е 407а), загустители  (Е 415, Е 412), соль поваренная, усилитель вкуса и аромата (Е621-15%), ароматизатор Мясо.</t>
  </si>
  <si>
    <t>2 кг на 100 литров рассола</t>
  </si>
  <si>
    <t>полуфабрикаты и копчености из свинины и говядины</t>
  </si>
  <si>
    <t xml:space="preserve">V Инъекта Деликатес </t>
  </si>
  <si>
    <t>Многофункциональные смеси для шприцевания деликатесной продукции и полуфабрикатов, выход готового продукта до 125 %</t>
  </si>
  <si>
    <t>состав: регуляторы кислотности (Е450i, Е451i, Е452ii), соль, стабилизатор (Е407а) , загустители  (Е415, Е412)</t>
  </si>
  <si>
    <t>1,5 кг на 100 литров рассола</t>
  </si>
  <si>
    <t>регуляторы кислотности (Е 450i, Е 451i, 452ii),  соль поваренная, декстроза, усилитель вкуса и аромата Е 621, ароматизатор Мясо, антиокислитель (Е 316), фиксатор окраски  нитрит натрия (0,35 %), экстракт кориандра.</t>
  </si>
  <si>
    <t>копчености из свинины и говядины</t>
  </si>
  <si>
    <t>Многофункциональные смеси для шприцевания деликатесной продукции и полуфабрикатов, выход готового продукта до 115 %</t>
  </si>
  <si>
    <t>регуляторы кислотности (Е 450i, Е 451i, Е331ii), соль, мальтодекстрин.</t>
  </si>
  <si>
    <t>3 кг на 100 литров рассола</t>
  </si>
  <si>
    <t>рыбные продукты</t>
  </si>
  <si>
    <t xml:space="preserve">V Инъекта Супер </t>
  </si>
  <si>
    <t>Многофункциональные смеси для шприцевания деликатесной продукции и полуфабрикатов, выход готового продукта до 150 %</t>
  </si>
  <si>
    <t>изолят соевого белка, стабилизаторы (Е 450i, Е407, Е1422),  регуляторы кислотности (Е 451i),  агент желирующий (Е508), декстроза, соль поваренная, клетчатка растительная (псилиум).</t>
  </si>
  <si>
    <t xml:space="preserve">5 кг на 100 литров рассола
</t>
  </si>
  <si>
    <t>полуфабрикаты и копчености из мяса птицы, свинины и говядины</t>
  </si>
  <si>
    <t>V Инъекта Супер</t>
  </si>
  <si>
    <t>состав: изолят соевого белка, стабилизаторы (Е1442, Е 450i, Е407),  регуляторы кислотности (Е 451i),  агент желирующий (Е508), декстроза, соль поваренная, усилитель вкуса и аромата Е 621.</t>
  </si>
  <si>
    <t>5 кг на 100 литров рассола
для ветчины - 3,5-4 кг на 100 кг мясного сырья</t>
  </si>
  <si>
    <t xml:space="preserve">полуфабрикаты и копчености из свинины и говядины
</t>
  </si>
  <si>
    <t>изолят соевого белка, регуляторы кислотности (Е 450i, Е 451i, 452ii), стабилизатор (Е 407а),  волокна растительные, соль поваренная, декстроза, усилитель вкуса и аромата Е 621, ароматизатор Мясо,  загустители (Е 425, Е 415), антиокислитель (Е 316).</t>
  </si>
  <si>
    <t>5 кг на 100 литров рассола
для ветчины - 25 г на кг фаршемассы</t>
  </si>
  <si>
    <t>полуфабрикаты и копчености из свинины и говядины
ветчина</t>
  </si>
  <si>
    <t>V Инъекта ПФ</t>
  </si>
  <si>
    <t xml:space="preserve">Многофункциональные смеси для шприцевания деликатесной продукции и полуфабрикатов, Бесфосфатная смесь, выход готового продукта от 110 % </t>
  </si>
  <si>
    <t>состав: регуляторы кислотности (Е331, Е262, 500), животный белок (говяжий), растительная клетчатка, загуститель (Е412)</t>
  </si>
  <si>
    <t>мясные кусковые полуфабрикаты</t>
  </si>
  <si>
    <t xml:space="preserve">Многофункциональные смеси для шприцевания деликатесной продукции и полуфабрикатов, Бесфосфатная смесь выход готового продукта от 115 % </t>
  </si>
  <si>
    <t xml:space="preserve">регуляторы кислотности (Е 331iii), изолят соевого белка, животный белок (говяжий), поваренная соль, антиокислитель Е300.
</t>
  </si>
  <si>
    <t>4,5 кг на 100 литров рассола</t>
  </si>
  <si>
    <t xml:space="preserve">Рассол "Фаворит"
</t>
  </si>
  <si>
    <t>Многофункциональные смеси для шприцевания деликатесной продукции и полуфабрикатов, выход готового продукта   до 145 %</t>
  </si>
  <si>
    <t>состав: загустители (Е1442, Е407а, Е415, Е425i), регулятор кислотности Е451, животный белок (свиной), усилитель вкуса и аромата Е621, агент желирующий Е508, антиокислитель Е301, ароматизатор Мясо, сахара.</t>
  </si>
  <si>
    <t>5 кг на 100 литров рассола; для ветчин - 35 г/кг продукта</t>
  </si>
  <si>
    <t>цельномышечные и рубленые мясопродукты</t>
  </si>
  <si>
    <t>Многофункциональные смеси для шприцевания деликатесной продукции и полуфабрикатов, выход готового продукта   до 180 %</t>
  </si>
  <si>
    <t>загустители (Е1422, Е407а, Е415), регулятор кислотности Е451, бамбуковая клетчатка, животный белок (говяжий), усилитель вкуса и аромата Е621, агент желирующий Е508, антиокислитель Е316 (1%), ароматизатор Мясо.</t>
  </si>
  <si>
    <t>50 г/кг продукта</t>
  </si>
  <si>
    <t>рубленые ветчины</t>
  </si>
  <si>
    <t>Рассол "Нежный"</t>
  </si>
  <si>
    <t>Многофункциональные смеси для шприцевания деликатесной продукции и полуфабрикатов, выход готового продукта   110 - 115 %</t>
  </si>
  <si>
    <t>Состав: Регуляторы кислотности (Е 450iii, Е 451i), загустители (Е 1422, Е 412, Е 415), декстроза, соль поваренная,  мальтодекстрин, усилитель вкуса и аромата (Е 621).</t>
  </si>
  <si>
    <t>полуфабрикаты  из мяса птицы</t>
  </si>
  <si>
    <t>V Протекс</t>
  </si>
  <si>
    <t xml:space="preserve"> Смеси для сохранения потребительских свойств мясопродуктов  при хранении, добавка для укрепления консистенции и предотвращения эффекта синерезиса при хранении</t>
  </si>
  <si>
    <t>состав: загустители и стабилизаторы (Е 407, Е412, Е415, Е417, Е466),  мальтодекстрин</t>
  </si>
  <si>
    <t>вареная колбаса  
варенокопченая колбаса
полукопченая колбаса</t>
  </si>
  <si>
    <t>V Фреш</t>
  </si>
  <si>
    <t>Консерванты, комплексная пищевая добавка для продления сроков годности</t>
  </si>
  <si>
    <t>3-5 грамм
 на 1 кг продукта</t>
  </si>
  <si>
    <t>все виды колбасных изделий
копчености</t>
  </si>
  <si>
    <t>V Фреш ПФ</t>
  </si>
  <si>
    <t>состав: консерванты (Е262i), регуляторы кислотности (Е331, Е327), антиокислитель (Е301)</t>
  </si>
  <si>
    <t>рубленые мясные полуфабрикаты 
кусковые мясные полуфабрикаты</t>
  </si>
  <si>
    <t xml:space="preserve">V Фреш Супер </t>
  </si>
  <si>
    <t>состав: консерванты (Е262i, Е262ii, Е385), регуляторы кислотности (Е331, Е330), антиокислитель (Е316)</t>
  </si>
  <si>
    <t>все виды колбасных изделий
мясные копчености
рубленые мясные полуфабрикаты
кусковые мясные полуфабрикаты</t>
  </si>
  <si>
    <t xml:space="preserve">V ФишФреш </t>
  </si>
  <si>
    <t>состав: регуляторы кислотности (Е 262 i, Е 331 ii, Е330), соль пищевая, антиокислитель (Е 316), экстракт розмарина.</t>
  </si>
  <si>
    <t>3 г
 на 1 кг продукта</t>
  </si>
  <si>
    <t xml:space="preserve"> все виды рыбных продуктов</t>
  </si>
  <si>
    <t xml:space="preserve">V Протекс Оптимал
</t>
  </si>
  <si>
    <t>Состав: консерванты (Е202, Е211).</t>
  </si>
  <si>
    <t>по спецификации</t>
  </si>
  <si>
    <t xml:space="preserve">овощные салаты, пресервы                     все виды колбасных изделий
яйцепродукты жидкие                  </t>
  </si>
  <si>
    <t>V Протекс Оптимал</t>
  </si>
  <si>
    <t>Состав: регуляторы кислотности (Е262i, Е262 ii), консерванты (Е202, Е211), антиокислитель Е316.</t>
  </si>
  <si>
    <t>3-5 г
 на 1 кг продукта</t>
  </si>
  <si>
    <t xml:space="preserve">все виды колбасных изделий
копчености                   </t>
  </si>
  <si>
    <t>Фреш Р2</t>
  </si>
  <si>
    <t>Консерванты,   комплексная пищевая добавка для продления сроков годности</t>
  </si>
  <si>
    <t>регуляторы кислотности (Е262, Е331), консервант Е202, антиокислители (Е300, Е316)
.</t>
  </si>
  <si>
    <t>3-4 г
 на 1 кг фаршемассы</t>
  </si>
  <si>
    <t>все виды колбасных изделий</t>
  </si>
  <si>
    <t xml:space="preserve">Ускоритель созревания </t>
  </si>
  <si>
    <t>Ускорители созревания для сырокопченых и сыровяленых колбас</t>
  </si>
  <si>
    <t>состав: регулятор кислотности (Е575), сахара (декстроза), антиокислитель (Е300)</t>
  </si>
  <si>
    <t>8-10 грамм
 на 1 кг фаршемассы</t>
  </si>
  <si>
    <t>сырокопченые и сыровяленые колбасы</t>
  </si>
  <si>
    <t>Ускоритель созревания Классик</t>
  </si>
  <si>
    <t>Ускорители созревания для сырокопченых и сыровяленых колбас, препарат для ускорения созревания и уменьшения себестоимость готового продукта</t>
  </si>
  <si>
    <t>состав: регулятор кислотности (Е575), клетчатка, декстроза, антиокислитель (Е300)</t>
  </si>
  <si>
    <t>Экспресс созреватель</t>
  </si>
  <si>
    <t>препарат для ускорения созревания</t>
  </si>
  <si>
    <t>состав: регулятор кислотности (Е575), глюкоза, декстроза, антиокислитель (Е316)</t>
  </si>
  <si>
    <t xml:space="preserve">Фреш Р21Д </t>
  </si>
  <si>
    <t>Маскираторы,  Нивелирует запах и вкус низкосортного сырья.</t>
  </si>
  <si>
    <t xml:space="preserve">
состав: мальтодекстрин, соль пищевая, натуральные растительные экстракты (чеснок, куркума, лимон)
</t>
  </si>
  <si>
    <t>Фреш Р21Д</t>
  </si>
  <si>
    <t>Маскираторы, Нивелирует запах и вкус низкосортного сырья.</t>
  </si>
  <si>
    <t>мальтодекстрин, соль пищевая, натуральные растительные экстракты (горчица, чеснок, сельдерей), ароматизатор мясной</t>
  </si>
  <si>
    <t>Маскираторы,   Нивелирует запах и вкус низкосортного сырья.</t>
  </si>
  <si>
    <t>мальтодекстрин, соль пищевая, натуральные растительные экстракты (горчица, чеснок, сельдерей), ароматизатор коптильный.</t>
  </si>
  <si>
    <t>Маскираторы,  Нивелирует запах и вкус низкосортного сырья. Стабилизирует цвет, замедляет процесс окислительной порчи.</t>
  </si>
  <si>
    <t xml:space="preserve">
регулятор кислотности (Е262), соль поваренная, антиокислитель (Е316), экстракт горчицы</t>
  </si>
  <si>
    <t>V Натур Фреш</t>
  </si>
  <si>
    <t>Добавки без E, смесь натуральных природных антиоксидантов для продления срока годности пищевых продуктов</t>
  </si>
  <si>
    <t>состав: натуральные антиоксиданты (специи и экстракты специй), мальтодекстрин, соль</t>
  </si>
  <si>
    <t>3-5 грамма 
на 1 кг фаршемассы</t>
  </si>
  <si>
    <t>все виды колбасных изделий
рубленые мясные полуфабрикаты</t>
  </si>
  <si>
    <t>Добавки без E, смесь растительных волокон. Стабилизатор, загуститель. Продлевает срок хранения продуктов за счет снижения активности воды.</t>
  </si>
  <si>
    <t>растительные волокна (бамбуковые, гороховые), рисовая мука.</t>
  </si>
  <si>
    <t>20-60 г
на 1 кг фаршемассы</t>
  </si>
  <si>
    <t>Добавки без E, технологическое вспомогательное средство для продления сроков годности. Содержит натуральный антимикробный агент широкого спектра действия.</t>
  </si>
  <si>
    <t>натуральный антимикробный агент, носитель (мальтодекстрин)</t>
  </si>
  <si>
    <t>2-3 г на кг продукта</t>
  </si>
  <si>
    <t>для использования в мясной и молочной промышленности, в сыроделии и других отраслях</t>
  </si>
  <si>
    <t>Добавки без E, натуральные природные антиоксидантов для продления срока годности пищевых продуктов</t>
  </si>
  <si>
    <t>носитель (мальтодекстрин), экстракт розмарина</t>
  </si>
  <si>
    <t>3-5 г на кг продукта</t>
  </si>
  <si>
    <t>V Натур Протеин</t>
  </si>
  <si>
    <t>Добавки без E, загуститель, стабилизатор, эмульгатор</t>
  </si>
  <si>
    <t>состав: белки животного происхождения (говяжий коллагеновый белок, плазма крови говяжья, молочный белок), изолят соевого белка, растительные волокна</t>
  </si>
  <si>
    <t>5-25 грамма 
на 1 кг фаршемассы</t>
  </si>
  <si>
    <t xml:space="preserve">V Натур Милк
</t>
  </si>
  <si>
    <t>Добавки без E, эмульгатор, стабилизатор на основе молочного белка</t>
  </si>
  <si>
    <t>состав:  сыворотка сухая молочная, растительные волокна, молочный сахар, концентрат молочного белка</t>
  </si>
  <si>
    <t>5-30 грамма 
на 1 кг фаршемассы</t>
  </si>
  <si>
    <t>Добавки без E, эмульгатор, стабилизатор на основе растительной клетчатки</t>
  </si>
  <si>
    <t>растительная клетчатка, сыворотка сухая молочная, молочный сахар, крахмал, загуститель (Е412)</t>
  </si>
  <si>
    <t>V Натур Сливки</t>
  </si>
  <si>
    <t>Добавки без E, эмульгатор-стабилизатор с ароматом сливок</t>
  </si>
  <si>
    <t>состав: сыворотка сухая молочная, сливки сухие молочные, сахара (декстроза, молочный сахар), вещество натуральное вкусоароматическое</t>
  </si>
  <si>
    <t>10-25 грамма 
на 1 кг фаршемассы</t>
  </si>
  <si>
    <t>вареные колбасные изделия
паштеты</t>
  </si>
  <si>
    <t>V Натур Желин</t>
  </si>
  <si>
    <t>Добавки без E, желирующая добавка</t>
  </si>
  <si>
    <t>состав: желатин пищевой, соль поваренная пищевая йодированная, лактоза, гидролизат  растительного белка, клетчатка бамбуковая, ароматизатор «Курица», агент антислеживающий Е551.</t>
  </si>
  <si>
    <t>гидратация - 1: 12,
для закрепления пряностей – 1:10</t>
  </si>
  <si>
    <t>для продуктов в желе
холодец 
студень</t>
  </si>
  <si>
    <t>Желатин пищевой, крахмал кукурузный, соль поваренная пищевая йодированная, декстроза, регулятор кислотности (лимонная кислота), агент антислеживающий Е551.</t>
  </si>
  <si>
    <t xml:space="preserve">гидратация - 1: 7-8
</t>
  </si>
  <si>
    <t>зельц         сальтисон</t>
  </si>
  <si>
    <t>желатин пищевой, соль поваренная, сахар,  регулятор кислотности (лимонная кислота).</t>
  </si>
  <si>
    <t>гидратация - 1: 12-13,
для закрепления пряностей – 1:8</t>
  </si>
  <si>
    <t xml:space="preserve">V Натур Желин </t>
  </si>
  <si>
    <t xml:space="preserve">желатин пищевой, соль поваренная, декстроза, натуральные экстракты (лимон).
</t>
  </si>
  <si>
    <t>гидратация - 1: 10-15</t>
  </si>
  <si>
    <t>желатин пищевой, соль поваренная, усилитель вкуса и аромата (Е621), декстроза, ароматизатор Хрен, регулятор кислотности (Е330).</t>
  </si>
  <si>
    <t>V Натур Инъекта</t>
  </si>
  <si>
    <t>Добавки без E, смесь для инъектирования</t>
  </si>
  <si>
    <t>состав: животные и растительные белки, растительная клетчатка, мальтодекстрин, соль</t>
  </si>
  <si>
    <t>2,5 - 4 кг 
на 100 литров рассола</t>
  </si>
  <si>
    <t>кусковые мясные полуфабрикаты</t>
  </si>
  <si>
    <t>Сухие маринады</t>
  </si>
  <si>
    <t>маринад "Кавказский"</t>
  </si>
  <si>
    <t>Пряно-чесночный профиль: кориандр, кумин, паприка, фенхель, чёрный перец + острота чили</t>
  </si>
  <si>
    <t>состав: пряности (кориандр молотый, паприка красная сладкая, кумин, перец острый Чили, петрушка, перец черный, фенхель, чеснок), сахар, соль пищевая, усилитель вкуса и аромата, волокна растительные, эмульгатор (Е 471), загустители (Е 412, Е 415), антиокислитель (Е 330), экстракт паприки, краситель (Е 120), консервант (Е 202).</t>
  </si>
  <si>
    <t>Соусы</t>
  </si>
  <si>
    <t>маринад  "Клюквенно-брусничный" (Деревенский)</t>
  </si>
  <si>
    <t>Ягодный кисло-сладкий вкус брусники с пряностями и лёгкой остротой чили</t>
  </si>
  <si>
    <t>состав: пряности (паприка красная сладкая, перец красный Чили, тмин, розмарин, перец черный, петрушка), брусника сушеная,  сахар, соль поваренная, мальтодекстрин, усилитель вкуса и аромата (Е 621),  эмульгатор (Е471), загуститель  (Е 412), регулятор кислотности (Е 330), ароматизатор Клюква, консервант (Е 202), краситель (Е 124а).</t>
  </si>
  <si>
    <t>маринад "Венесуэлла"</t>
  </si>
  <si>
    <t>Пряно-овощной вкус (лук, паприка, тмин, майоран) с умеренной остротой и нотой мускатного ореха</t>
  </si>
  <si>
    <t>состав: пряности (паприка красная сладкая, перец черный, лук, перец острый Чили, тмин, майоран, петрушка, мускатный орех), сыворотка сухая молочная, сахар, соль, усилитель вкуса и аромата, эмульгатор (Е 471), загуститель  (Е412), регулятор кислотности (Е330), пищевые волокна, консервант (Е202), экстракт паприки, краситель Е124.</t>
  </si>
  <si>
    <t>маринад "Барбекю"</t>
  </si>
  <si>
    <t>Сладко-пряный вкус с паприкой, луком-пореем и горчичной нотой + профиль «барбекю»</t>
  </si>
  <si>
    <t>состав: пряности (паприка красная сладкая, перец черный, лук порей сушеный, семя горчицы), сливки сухие молочные, сахар, соль поваренная, усилитель вкуса и аромата (Е621), ароматизатор «Барбекю», эмульгатор (Е471), загуститель (Е412), экстракт паприки, регулятор кислотности (Е330), консервант (Е202), краситель Е124.</t>
  </si>
  <si>
    <t>Пряно-чесночный вкус с кориандром, кумином и фенхелем + умеренная острота чили</t>
  </si>
  <si>
    <t>состав: пряности (паприка красная сладкая, чеснок сушеный, перец черный, кориандр, кумин, перец острый чили, фенхель), сахар, сыворотка сухая молочная, усилитель вкуса и аромата Е621, декстроза, соль пищевая, загустители (Е412, Е415), эмульгатор Е471, регулятор кислотности Е330, экстракт паприки, консервант Е202.</t>
  </si>
  <si>
    <t>маринад "Пирошка"</t>
  </si>
  <si>
    <t>Томатно-пряный вкус с чесноком, тмином и остротой чили</t>
  </si>
  <si>
    <t>состав: пряности (паприка красная сладкая, перец черный, чеснок, томатный порошок, тмин, петрушка, перец острый Чили), сахар, соль поваренная, усилитель вкуса и аромата (глутамат натрия), эмульгатор (моноглицериды жирных кислот), загуститель (гуаровая камедь), регулятор кислотности (лимонная кислота), экстракт паприки, консервант (сорбат калия), краситель Е124.</t>
  </si>
  <si>
    <t>маринад "Для свинины"</t>
  </si>
  <si>
    <t>Пряный вкус с луком и горчицей, имбирной нотой, кунжутом и лёгким мускатом</t>
  </si>
  <si>
    <t>пряности (лук сушеный, горчичное семя, перец красный, перец черный, имбирь сушеный, морковь сушеная, фенхель, кунжут, тмин, мускатный орех), соль поваренная, сахар, молоко сухое, усилитель вкуса и аромата (Е621-4%), эмульгатор (Е471), загуститель (Е 412), антиокислитель (Е330), экстракт паприки, консервант (Е 202).</t>
  </si>
  <si>
    <t xml:space="preserve">маринад "Южный" </t>
  </si>
  <si>
    <t>Пряно-чесночный вкус с кориандром и кумином на папричной основе</t>
  </si>
  <si>
    <t>состав: пряности (паприка красная сладкая, чеснок, кориандр, перец черный, семя фенхеля, кумин), сыворотка сухая молочная, соль, сахар, усилитель вкуса и аромата (Е621), эмульгатор (Е471), загуститель (Е412), регулятор кислотности (Е330), растительные волокна, консервант (Е202), красители (Е160с, Е124).</t>
  </si>
  <si>
    <t>маринад "Охотничий" с перцем теличерри</t>
  </si>
  <si>
    <t>Яркий перечный профиль (Теличерри, кайенский) с травами (розмарин, тимьян, майоран) и чесноком</t>
  </si>
  <si>
    <t>состав: пряности и экстракты пряностей (экстракт перца черного, перец Теличерри, луковый порошок, паприка красная сладкая, чеснок, перец кайенский, майоран, розмарин, тимьян, кориандр), соль поваренная, сахар, сыворотка сухая молочная, усилитель вкуса и аромата (глутамат натрия), пищевые волокна, загуститель (Е 412), эмульгатор (моноглицериды жирных кислот),  регулятор кислотности (лимонная кислота), консервант (сорбат калия).</t>
  </si>
  <si>
    <t>маринад "Деликатесный" (Алабама)</t>
  </si>
  <si>
    <t>Пряный вкус с горчицей и чесноком + лёгкая дымная нота</t>
  </si>
  <si>
    <t>состав: пряности (паприка красная сладкая, горчичное семя, перец черный, лук сушеный, чеснок, перец острый Чили), сахар,  соль поваренная, мальтодекстрин, усилитель вкуса и аромата (Е 621),  эмульгатор (Е471), загуститель  (Е 412), регулятор кислотности (Е 330), экстракт паприки, ароматизатор Дым, консервант (Е 202), красители (Е124).</t>
  </si>
  <si>
    <t>маринад "Венгерский"</t>
  </si>
  <si>
    <t>Насыщенный папрично-чесночный вкус с зеленью и лёгкой остротой чили</t>
  </si>
  <si>
    <t>состав: пряности (паприка, чеснок, перец черный, петрушка сушеная, базилик, перец острый Чили), соль пищевая, сахар, сыворотка сухая молочная, усилитель вкуса и аромата (Е621-4%),  загустители (Е 412, Е 415), пищевые волокна, эмульгатор (Е471), регулятор кислотности (Е330), консервант (Е202).</t>
  </si>
  <si>
    <t xml:space="preserve">маринад "Кантри" </t>
  </si>
  <si>
    <t>Соевый вкус с имбирём, чесноком и чёрным перцем</t>
  </si>
  <si>
    <t>состав: соевый соус, пряности (имбирь, чеснок, перец черный), декстроза, мальтодекстрин, загуститель (Е 412), регулятор кислотности (Е330), соль поваренная, консервант (Е 202).</t>
  </si>
  <si>
    <t>маринад "Северный"</t>
  </si>
  <si>
    <t>Горчично-пряный профиль с куркумой и укропом + выраженная острота чили</t>
  </si>
  <si>
    <t>состав: пряности (горчичный порошок, горчичное семя, перец черный, куркума, укроп сушеный, имбирь сушеный молотый, перец острый Чили), сахар, соль поваренная,  усилитель вкуса и аромата (глутамат натрия), эмульгатор (моноглицериды жирных кислот), загуститель (гуаровая камедь), регулятор кислотности (лимонная кислота), консервант сорбат калия</t>
  </si>
  <si>
    <t>маринад "Арабский"</t>
  </si>
  <si>
    <t>Восточный пряный вкус: куркума, кориандр, имбирь, кайенский перец + нота бадьяна</t>
  </si>
  <si>
    <t>состав: пряности (куркума, кориандр, горчичный порошок, чеснок, кайенский перец, имбирь,  перец черный, бадьян),  загуститель (Е 412), сыворотка сухая молочная, соль, сахар, усилитель вкуса и аромата (Е621-5,2%), эмульгатор (Е 471), регулятор кислотности (Е 330), консервант (Е 202).</t>
  </si>
  <si>
    <t xml:space="preserve">маринад "Сливочный с зеленью" </t>
  </si>
  <si>
    <t>Сливочно-пряный профиль с чесноком, укропом и травами + лёгкая острота</t>
  </si>
  <si>
    <t>состав: пряности (лук сушеный, чеснок сушеный гранулированный, перец черный, перец острый Чили, укроп сушеный, розмарин, куркума, тимьян), соль, сливки сухие молочные, сахар, усилитель вкуса и аромата (Е 621), эмульгатор (Е 471), пищевые волокна, загуститель (Е 412), регулятор кислотности (Е 330), ароматизатор «Сливки», консервант (Е 202).</t>
  </si>
  <si>
    <t xml:space="preserve">маринад "Чесночный" </t>
  </si>
  <si>
    <t>Яркий чесночный вкус с луком, петрушкой и тимьяном + перечная нота</t>
  </si>
  <si>
    <t>состав: пряности и экстракты пряностей (чеснок сушеный, экстракт перца черного, луковый порошок, петрушка сушеная, тимьян), сливки сухие молочные,  соль поваренная, сахар, усилитель вкуса и аромата (Е 621), загустители  (Е 1412, Е 412), эмульгатор (Е471),  регулятор кислотности (Е 330), консервант (Е 202).</t>
  </si>
  <si>
    <t>маринад "Грибной"</t>
  </si>
  <si>
    <t>Грибной вкус со сливочной нотой + овощи (лук, морковь) и пряности (тмин, фенхель, кориандр)</t>
  </si>
  <si>
    <t>состав: пряности (морковь сушеная, лук сушеный, чеснок, перец черный, кориандр, семя укропа, тмин, фенхель), соль поваренная, сахар, загуститель  (Е 412), усилитель вкуса и аромата (Е 621), крахмал кукурузный, сливки сухие молочные, грибы сушеные, волокна пищевые, эмульгатор (Е471), регулятор кислотности (Е 330), ароматизатор Грибы, консервант (Е 202).</t>
  </si>
  <si>
    <t>маринад "Горчично-медовый"</t>
  </si>
  <si>
    <t>Сладко-пряный вкус мёда и горчицы + куркума и имбирная нота, лёгкая острота чили</t>
  </si>
  <si>
    <t>состав: пряности и экстракты пряностей (горчичный порошок, семена горчицы, куркума, тимьян, имбирь, перец черный, перец красный Чили), сахар, соль поваренная,  усилитель вкуса и аромата (Е621-8 %), эмульгатор (Е471), загуститель (Е 412), ароматизатор Мед, антиокислитель (Е330), консервант (Е202).</t>
  </si>
  <si>
    <t xml:space="preserve">маринад "Пикантный с сыром" </t>
  </si>
  <si>
    <t>Пикантный пряный профиль со сливочно-сырной нотой и мускатом</t>
  </si>
  <si>
    <t>состав: пряности и экстракты пряностей (чеснок сушеный, перец черный, луковый порошок, мускатный орех, тимьян), сливки сухие молочные, соль поваренная, сахар, усилитель вкуса и аромата (Е 621), загуститель (Е 412), эмульгатор (Е471), регулятор кислотности (Е 330), ароматизатор «Сыр», консервант (Е202).</t>
  </si>
  <si>
    <t>маринад "Медово-имбирный"</t>
  </si>
  <si>
    <t>Сладкий мёд + выраженная имбирная пряность, с кунжутной нотой</t>
  </si>
  <si>
    <t>пряности и экстракты пряностей (имбирь, куркума, кунжут, мускатный орех, перец красный), сахар, соль поваренная, усилитель вкуса и аромата (Е 621-8 %), сыворотка сухая, эмульгатор (Е471), загуститель (Е 412), ароматизатор Мед, антиокислитель (Е330), консервант (Е202).</t>
  </si>
  <si>
    <t xml:space="preserve">маринад "Грузинский"     </t>
  </si>
  <si>
    <t>Пряно-чесночный профиль с кориандром и тимьяном + острота чили</t>
  </si>
  <si>
    <t xml:space="preserve">пряности (паприка, чеснок, семя горчицы, перец черный, тимьян, перец красный Чили, лук, кориандр), соль поваренная, сахар, регуляторы кислотности (Е330, Е262(i)),  усилитель вкуса и аромата (Е621-8%), стабилизаторы (Е471, Е412), экстракт паприки.
</t>
  </si>
  <si>
    <t xml:space="preserve">маринад "Сливочный"     </t>
  </si>
  <si>
    <t>Мягкий сливочный профиль с укропом и чесноком + лёгкая перечная нота</t>
  </si>
  <si>
    <t>состав: пряности и экстракты пряностей (лук сушеный, экстракт перца черного, чеснок сушеный, укроп сушеный), соль пищевая, сливки сухие молочные, сахар, усилитель вкуса и аромата (Е621),  ароматизатор «Сливки», эмульгатор (Е 471), загуститель (Е412), пищевые волокна, регулятор кислотности (Е330), консервант (Е 202).</t>
  </si>
  <si>
    <t xml:space="preserve">маринад "С зеленью"     </t>
  </si>
  <si>
    <t>Травяной профиль (петрушка, тимьян, орегано, кориандр) + куркума и лёгкая острота</t>
  </si>
  <si>
    <t>состав: пряности (перец черный, куркума, петрушка, кориандр, тимьян, орегано, перец острый Чили), сливки сухие молочные, сахар, соль, усилитель вкуса и аромата (Е621), эмульгатор (Е 471), загустители (Е412), регулятор кислотности (Е330), пищевые волокна, консервант (Е202).</t>
  </si>
  <si>
    <t xml:space="preserve">маринад "С зеленью"  </t>
  </si>
  <si>
    <t>Чесночно-травяной профиль (майоран) с нотой любистока</t>
  </si>
  <si>
    <t>специи (чеснок,  майоран), соль, декстроза, мальтодекстрин, загустители  (Е 1422, Е412), усилитель вкуса и аромата (Е621- 7%), экстракт любистока</t>
  </si>
  <si>
    <t>маринад "Универсал"</t>
  </si>
  <si>
    <t>Классический пряный профиль: паприка, чеснок, кориандр, чёрный перец + лёгкая острота чили</t>
  </si>
  <si>
    <t xml:space="preserve">состав: пряности (паприка красная сладкая, чеснок, кориандр, перец черный, перец красный Чили молотый), соль, сахар, усилитель вкуса и аромата (Е621), регулятор кислотности (Е330).
</t>
  </si>
  <si>
    <t xml:space="preserve">маринад "Французский" </t>
  </si>
  <si>
    <t>Горчично-травяной профиль с куркумой, укропом и розмарином + лёгкая острота чили</t>
  </si>
  <si>
    <t>Состав: пряности (горчичный порошок, горчичное семя, лук сушеный, перец черный, куркума, укроп, перец красный Чили молотый, розмарин, петрушка, орегано), соль, сахар, усилитель вкуса и аромата (Е621), регулятор кислотности (Е262).</t>
  </si>
  <si>
    <t>маринад "Американский"</t>
  </si>
  <si>
    <t>Соевый профиль с имбирём и чесноком + острота чили и коптильная нота</t>
  </si>
  <si>
    <t>состав: соевый соус, пряности (имбирь, чеснок, перец красный Чили), соль пищевая, декстроза,  загустители (Е 412, Е 415), ароматизатор коптильный.</t>
  </si>
  <si>
    <t xml:space="preserve">маринад "Вишневый с хреном"     </t>
  </si>
  <si>
    <t>Ягодно-пряный вкус с выраженной остротой хрена</t>
  </si>
  <si>
    <t>Состав: пряности и экстракты пряностей (паприка красная сладкая, перец черный, хрен сушеный, лук сушеный, тимьян, ягоды сушеные, перец красный чили), соль пищевая, сахар, сыворотка сухая молочная, крахмал кукурузный, регулятор кислотности Е262, усилитель вкуса и аромата Е621, натуральный ароматизатор, загуститель Е412, эмульгатор Е471, краситель Е120.</t>
  </si>
  <si>
    <t xml:space="preserve">маринад "Карри" </t>
  </si>
  <si>
    <t>Интенсивный карри-профиль: куркума, кориандр, имбирь, кумин + тёплые пряности</t>
  </si>
  <si>
    <t>Состав: пряности (куркума, кориандр, чеснок, морковь, имбирь, кумин, мускатный орех, пажитник, уцхо-сунели, перец черный, корица, перец красный чили, петрушка), соль пищевая, сахар, усилитель вкуса и аромата Е621, загуститель Е412, эмульгатор Е471, регулятор кислотности Е330, ароматизатор.</t>
  </si>
  <si>
    <t xml:space="preserve">маринад "Ткемали" </t>
  </si>
  <si>
    <t>Пряно-травяной профиль с кинзой и мятой + острота чили</t>
  </si>
  <si>
    <t>Состав: пряности (паприка красная сладкая, чеснок, перец черный, кориандр, уцхо-сунели, кинза, мята, перец красный чили), сахар, соль пищевая, усилитель вкуса и аромата Е 621, загуститель Е 412, эмульгатор Е 471, ароматизатор, регулятор кислотности Е262, антиокислитель Е 330, краситель Е 120.</t>
  </si>
  <si>
    <t>Маринад "Домашний"</t>
  </si>
  <si>
    <t>Пряный профиль с копчёной паприкой и травами (тимьян, орегано, тмин)</t>
  </si>
  <si>
    <t>Состав: пряности (паприка копченая, чеснок, перец черный, петрушка, тимьян, орегано, тмин),  сахар, соль пищевая, усилитель вкуса и аромата (Е621-2,5%), регулятор кислотности (Е 330).</t>
  </si>
  <si>
    <t xml:space="preserve">маринад "Томатный" 
</t>
  </si>
  <si>
    <t>Насыщенный томатно-чесночный профиль с паприкой и остротой чили</t>
  </si>
  <si>
    <t>Состав: пряности (томаты сушеные, паприка красная сладкая, перец черный, чеснок, перец красный чили, укроп зелень), сахар, соль пищевая, усилитель вкуса и аромата Е 621, загуститель Е 412, эмульгатор Е 471, ароматизатор, регулятор кислотности Е262, антиокислитель Е 330, красители (Е160с, Е124).</t>
  </si>
  <si>
    <t>маринад "Томатный"  (с хреном)</t>
  </si>
  <si>
    <t>Томатно-пряный профиль с выраженной нотой хрена и остротой чили</t>
  </si>
  <si>
    <t>Состав: пряности и овощи сушеные (томаты, паприка красная сладкая, перец черный, чеснок, хрен, перец красный чили, петрушка), сахар, соль пищевая, усилитель вкуса и аромата Е 621, загуститель Е 412, эмульгатор Е 471, ароматизаторы, регулятор кислотности Е262,  краситель (Е160с).</t>
  </si>
  <si>
    <t xml:space="preserve">маринад "Апельсиновый"     </t>
  </si>
  <si>
    <t>Пряный профиль с апельсиновой цедрой и эфирным маслом + тёплая куркума</t>
  </si>
  <si>
    <t>пряности (паприка красная сладкая, цедра апельсина, лук, куркума, майоран, петрушка, перец черный, тмин), сахар, соль, усилитель вкуса и аромата Е621, сыворотка сухая молочная, регуляторы кислотности (Е262, Е330),  эмульгатор (Е 471), загуститель  (Е412), эфирное масло апельсина, краситель натуральный (куркумин).</t>
  </si>
  <si>
    <t xml:space="preserve">маринад "Для шашлыка" (Ореховый) </t>
  </si>
  <si>
    <t>Пряный профиль с ореховой нотой + кориандр, чеснок, пажитник, кунжут и мускат</t>
  </si>
  <si>
    <t>пряности (паприка красная сладкая, чеснок, кориандр, перец красный Чили, мускатный орех, пажитник, кунжут, тимьян, лук сушеный), соль, сахар, усилитель вкуса и аромата (Е621), соевый соус сухой, эмульгатор (Е471), загуститель (Е412), регуляторы кислотности (Е330, Е202), ароматизатор Грецкий орех.</t>
  </si>
  <si>
    <t>маринад "Острый" (Том ям)</t>
  </si>
  <si>
    <t>Острый пряный профиль: чили, имбирь, лемонграсс, куркума + соевая нота</t>
  </si>
  <si>
    <t>соль, пряности и экстракты пряностей (перец красный чили, паприка красная молотая, чеснок, имбирь, лемонграсс, куркума), ароматизаторы, сахар, сыворотка молочная сухая, волокна ратительные, соевый соус, регулятор кислотности (лимонная кислота), краситель (Е160с).</t>
  </si>
  <si>
    <t>маринад "Тайский"</t>
  </si>
  <si>
    <t>Соевый профиль со специями (имбирь, горчица, корица, кунжут) + медовая нота</t>
  </si>
  <si>
    <t>соевый соус (ферментированный соевый соус (содержит соевые бобы и пшеницу), пряности (имбирь, горчица, корица, кунжут), декстроза, соль поваренная, усилитель вкуса и аромата Е621, загуститель (Е 412), регулятор кислотности (Е330), ароматизатор Мед, краситель (сахарный колер).</t>
  </si>
  <si>
    <t>маринад "Фруктовый сад"</t>
  </si>
  <si>
    <t>Сладко-пряный профиль с фруктовой нотой + паприка, чеснок, мята и куркума</t>
  </si>
  <si>
    <t>пряности (чеснок, лук сушеный, паприка красная сладкая, перец черный, куркума, мята), сыворотка сухая молочная, сахар, соль поваренная, усилитель вкуса и аромата (Е 621),  регуляторы кислотности (Е 262, Е330), эмульгатор (Е 471), загуститель  (Е 412), ароматизаторы, экстракт паприки.</t>
  </si>
  <si>
    <t>маринад "Ягодный"</t>
  </si>
  <si>
    <t>Кисло-сладкий ягодный профиль (чёрная смородина) с сумахом и пряностями</t>
  </si>
  <si>
    <t>пряности (паприка красная сладкая, сумах, перец красный Чили, перец черный, петрушка, майоран), черная смородина сушеная,  сахар, соль поваренная, усилитель вкуса и аромата (Е 621),  эмульгатор (Е 471), загуститель (Е 412), регулятор кислотности (Е 330), ароматизаторы, краситель (Е 124).</t>
  </si>
  <si>
    <t>Пряно-чесночный профиль: паприка, кориандр, кумин, кинза, фенхель + острота чили</t>
  </si>
  <si>
    <t>пряности (паприка красная сладкая, чеснок, кориандр молотый, кумин, перец острый Чили, петрушка, перец черный, кинза, фенхель), сахар, соль пищевая, волокна растительные</t>
  </si>
  <si>
    <t>основа</t>
  </si>
  <si>
    <t>Ягодно-пряный профиль брусники с ароматом клюквы и лёгкой перечной остротой</t>
  </si>
  <si>
    <t>пряности (паприка красная сладкая, перец красный Чили, тмин, розмарин, перец черный, петрушка), брусника сушеная, сахар, соль поваренная, мальтодекстрин, ароматизатор Клюква.</t>
  </si>
  <si>
    <t>Пряно-овощной профиль с паприкой и тмином + нота мускатного ореха</t>
  </si>
  <si>
    <t>пряности (паприка красная сладкая, перец черный, лук, перец острый Чили, тмин, майоран, петрушка, мускатный орех), сыворотка сухая молочная, сахар, соль, пищевые волокна, красители (Е160с, Е124).</t>
  </si>
  <si>
    <t>Пряный папричный профиль с горчицей и луком-пореем + вкус «барбекю»</t>
  </si>
  <si>
    <t xml:space="preserve">пряности (паприка красная сладкая, перец черный, лук порей сушеный, семя горчицы, экстракт паприки), сливки сухие молочные, сахар, соль поваренная, усилитель вкуса и аромата (Е 621-9,4%), ароматизатор «Барбекю», экстракт паприки.
</t>
  </si>
  <si>
    <t>Томатно-чесночный профиль с тмином и остротой чили</t>
  </si>
  <si>
    <t>пряности (паприка красная сладкая, перец черный, чеснок, томатный порошок, тмин, петрушка, перец острый Чили), сахар, соль поваренная, экстракт паприки, красители (Е160с).</t>
  </si>
  <si>
    <t>Пряный профиль для свинины: лук, горчица, имбирь, фенхель + папричная нота</t>
  </si>
  <si>
    <t>пряности (лук сушеный, горчичное семя, перец красный сладкий, перец черный, имбирь сушеный, экстракт паприки, морковь сушеная, фенхель, мускатный орех), сахар, соль поваренная, краситель (Е160с).</t>
  </si>
  <si>
    <t>Перечный профиль с травами (розмарин, тимьян) и чесноком</t>
  </si>
  <si>
    <t xml:space="preserve">пряности и экстракты пряностей (экстракт перца черного, перец Теличерри, луковый порошок, паприка красная сладкая, чеснок, перец кайенский, майоран, розмарин, тимьян, кориандр), соль поваренная, сахар, сыворотка сухая молочная, пищевые волокна.
</t>
  </si>
  <si>
    <t xml:space="preserve">маринад "Деликатесный" </t>
  </si>
  <si>
    <t>Пряный профиль с горчицей и чесноком + дымная нота</t>
  </si>
  <si>
    <t>пряности (паприка красная сладкая, горчичное семя, перец черный, лук сушеный, чеснок, перец острый Чили), сахар,  соль поваренная, мальтодекстрин, усилитель вкуса и аромата (Е 621- 9,2%), экстракт паприки, ароматизатор Дым.</t>
  </si>
  <si>
    <t>Соевый профиль с пряностями (имбирь, чеснок, перец)</t>
  </si>
  <si>
    <t>соевый соус (ферментированный соевый соус (содержит соевые бобы и пшеницу), мальтодекстрин, карамельный колер, глутамат натрия (не более 2%), 5-рибонуклеотид динатрия (disodium 5-ribonucleotide)), пряности (имбирь, чеснок, перец черный), декстроза, мальтодекстрин, соль поваренная.</t>
  </si>
  <si>
    <t>Сливочный профиль с укропом, чесноком и травами</t>
  </si>
  <si>
    <t>пряности (лук сушеный, чеснок сушеный гранулированный, перец черный, перец острый Чили, укроп сушеный, розмарин, куркума, тимьян), соль, сливки сухие молочные, сахар, ароматизатор «Сливки».</t>
  </si>
  <si>
    <t xml:space="preserve">маринад "Чесночный"  </t>
  </si>
  <si>
    <t>Чесночно-травяной профиль с перечной нотой</t>
  </si>
  <si>
    <t>пряности и экстракты пряностей (чеснок сушеный, экстракт перца черного, луковый порошок, петрушка сушеная, тимьян), соль поваренная, сахар, сыворотка молочная,  крахмал кукурузный</t>
  </si>
  <si>
    <t>Грибной профиль со сливочной нотой и овощными специями</t>
  </si>
  <si>
    <t>пряности (морковь сушеная, лук сушеный, чеснок, перец черный, кориандр, семя укропа, тмин, фенхель), соль поваренная, сахар,  усилитель вкуса и аромата (Е 621), сливки сухие молочные, крахмал кукурузный, грибы шампиньоны сушеные,  ароматизатор Грибы</t>
  </si>
  <si>
    <t xml:space="preserve">маринад "Горчично-медовый"   </t>
  </si>
  <si>
    <t>Сладко-горчичный профиль с медовой нотой и пряностями</t>
  </si>
  <si>
    <t>пряности и экстракты пряностей (горчичный порошок, семена горчицы, куркума, тимьян, имбирь, перец черный, перец красный Чили), сахар, соль поваренная,  усилитель вкуса и аромата (Е621-9,1%), ароматизатор Мед.</t>
  </si>
  <si>
    <t xml:space="preserve">маринад "Медово-имбирный"   </t>
  </si>
  <si>
    <t>Медовая нота + выраженный имбирный профиль, с соевым оттенком</t>
  </si>
  <si>
    <t xml:space="preserve"> пряности и экстракты пряностей (имбирь, куркума, кунжут, мускатный орех, перец красный), сахар, соль поваренная, усилитель вкуса и аромата (Е 621-9,2 %), соевый соус,  ароматизатор Мед.</t>
  </si>
  <si>
    <t xml:space="preserve">маринад "С зеленью" </t>
  </si>
  <si>
    <t>Травяной профиль с лёгкой остротой и молочно-сливочной нотой</t>
  </si>
  <si>
    <t>состав: пряности (перец черный, куркума, петрушка, кориандр, тимьян, орегано, перец острый Чили), сливки сухие молочные, сахар, соль, усилитель вкуса и аромата (Е621), регулятор кислотности (Е330)</t>
  </si>
  <si>
    <t xml:space="preserve">маринад "Вишневый с хреном"  </t>
  </si>
  <si>
    <t>Ягодный профиль с яркой хреновой остротой</t>
  </si>
  <si>
    <t>пряности и экстракты пряностей (паприка красная сладкая, перец черный, хрен сушеный, лук сушеный, тимьян, ягоды сушеные, перец красный чили), соль пищевая, сахар, сыворотка сухая молочная, натуральный ароматизатор.</t>
  </si>
  <si>
    <t>маринад "Карри"</t>
  </si>
  <si>
    <t>Карри-профиль с куркумой, кориандром, имбирём и тёплыми пряностями</t>
  </si>
  <si>
    <t xml:space="preserve">пряности (куркума, кориандр, чеснок, морковь, имбирь, кумин, мускатный орех, пажитник, уцхо-сунели, перец черный, корица, перец красный чили, петрушка), соль пищевая, сахар, усилитель вкуса и аромата Е621 (7,9%), ароматизатор.
</t>
  </si>
  <si>
    <t>Состав: пряности (паприка красная сладкая, чеснок, перец черный, кориандр, уцхо-сунели, кинза, мята, перец красный чили), сахар, соль пищевая, усилитель вкуса и аромата Е 621, ароматизатор, антиокислитель Е 330</t>
  </si>
  <si>
    <t xml:space="preserve">маринад "Томатный" </t>
  </si>
  <si>
    <t>Томатно-папричный профиль с чесноком и остротой чили</t>
  </si>
  <si>
    <t>пряности (томаты сушеные, паприка красная сладкая, перец черный, чеснок, перец красный чили, укроп зелень), сахар, соль пищевая, ароматизатор Томат (мальтодекстрин, декстроза, вкусоароматические вещества), олеорезин паприки</t>
  </si>
  <si>
    <t>маринад "Апельсиновый"</t>
  </si>
  <si>
    <t>Пряный профиль с апельсиновой цедрой и эфирным маслом</t>
  </si>
  <si>
    <t>пряности (паприка красная сладкая, цедра апельсина, лук, куркума, майоран, петрушка, перец черный, тмин), сахар, соль, усилитель вкуса и аромата Е621, сыворотка сухая молочная, регулятор кислотности (Е330),  эфирное масло апельсина, краситель натуральный (куркумин).</t>
  </si>
  <si>
    <t>маринад "Для шашлыка" (Ореховый)</t>
  </si>
  <si>
    <t>Пряный профиль с ореховой нотой + кориандр и чеснок</t>
  </si>
  <si>
    <t>пряности (паприка красная сладкая, чеснок, кориандр, перец красный Чили, мускатный орех, пажитник, кунжут, тимьян, лук сушеный), соль, сахар, усилитель вкуса и аромата (Е621), соевый соус сухой,  регуляторы кислотности (Е330) ароматизатор Грецкий орех.</t>
  </si>
  <si>
    <t xml:space="preserve">маринад "Старорусский" </t>
  </si>
  <si>
    <t>Пряно-овощной профиль с горчицей, чесноком, кунжутом и тмином</t>
  </si>
  <si>
    <t xml:space="preserve">состав: пряности (паприка, лук, морковь,  семя горчицы, чеснок, перец черный, тимьян, перец красный Чили, кунжут, тмин, кориандр), сахар, регуляторы кислотности (Е262, Е330).
: пряности (паприка, лук, морковь,  семя горчицы, чеснок, перец черный, тимьян, перец красный Чили, кунжут, тмин, кориандр), сахар, регуляторы кислотности (Е262, Е330).
</t>
  </si>
  <si>
    <t>Папрично-чесночный профиль с зеленью и лёгкой остротой</t>
  </si>
  <si>
    <t>пряности (паприка, чеснок, перец черный, петрушка сушеная, базилик, перец острый Чили), соль пищевая, сахар, усилитель вкуса и аромата,  регулятор кислотности (Е330).</t>
  </si>
  <si>
    <t>маринад "Грузинский"</t>
  </si>
  <si>
    <t>Пряно-чесночный профиль с кориандром и коптильной нотой</t>
  </si>
  <si>
    <t>пряности (паприка, чеснок, семя горчицы, перец черный, тимьян, перец красный Чили, лук, кориандр), соль поваренная, сахар, регуляторы кислотности (Е330, Е262(i)),  усилитель вкуса и аромата (Е621), ароматизатор коптильный, экстракт паприки, краситель (Е124).</t>
  </si>
  <si>
    <t xml:space="preserve">маринад "Острый" </t>
  </si>
  <si>
    <t>Острый пряный профиль: чили, паприка, чеснок, имбирь, лемонграсс, куркума + соевая нота</t>
  </si>
  <si>
    <t>пряности и экстракты пряностей (перец красный чили, паприка красная молотая, чеснок, имбирь, лемонграсс, куркума), ароматизаторы, сахар,  соевый соус, регулятор кислотности (лимонная кислота), краситель (Е150с).</t>
  </si>
  <si>
    <t>Экстракты специй, растений, трав</t>
  </si>
  <si>
    <t>экстракт аниса</t>
  </si>
  <si>
    <t>Сладковато-пряный аромат с легкими лакричными нотами, усиливает вкусовой профиль изделий.</t>
  </si>
  <si>
    <t>Мальтодекстрин, натуральный экстракт аниса, антислеживатель Е 551.</t>
  </si>
  <si>
    <t>по рецептуре</t>
  </si>
  <si>
    <t>для пищевой промышленности</t>
  </si>
  <si>
    <t>экстракт базилика</t>
  </si>
  <si>
    <t>Свежий травяной аромат с пряными нотами, придает продуктам яркость и чистоту вкуса.</t>
  </si>
  <si>
    <t>Мальтодекстрин, декстроза, соль поваренная, экстракт базилика СО2</t>
  </si>
  <si>
    <t>Мальтодекстрин, декстроза, соль поваренная, олеорезин базилика, антислеживатель Е551.</t>
  </si>
  <si>
    <t xml:space="preserve">Мальтодекстрин, декстроза, натуральный экстракт базилика </t>
  </si>
  <si>
    <t>экстракт горчицы</t>
  </si>
  <si>
    <t>Острый, характерный вкус с легкой жгучестью, усиливает мясные и соусные продукты.</t>
  </si>
  <si>
    <t>Мальтодекстрин, декстроза, соль поваренная, олеорезин горчичного семени</t>
  </si>
  <si>
    <t>экстракт гвоздики</t>
  </si>
  <si>
    <t>Насыщенный пряный аромат с теплым, слегка сладким послевкусием.</t>
  </si>
  <si>
    <t>Мальтодекстрин, декстроза, соль поваренная, олеорезин гвоздики, антислеживающий агент Е 551</t>
  </si>
  <si>
    <t>Мальтодекстрин, декстроза, соль поваренная, экстракт СО2 гвоздики, антислеживающий агент Е 551</t>
  </si>
  <si>
    <t>Мальтодекстрин, декстроза, олеорезин гвоздики, антислеживающий агент Е 551</t>
  </si>
  <si>
    <t>экстракт имбиря</t>
  </si>
  <si>
    <t>Острый, свежий вкус с теплой пряной нотой, придает продуктам выразительность.</t>
  </si>
  <si>
    <t>Мальтодекстрин, декстроза, соль поваренная, олеорезин имбиря</t>
  </si>
  <si>
    <t>Мальтодекстрин, декстроза, олеорезин имбиря</t>
  </si>
  <si>
    <t>экстракт кардамона</t>
  </si>
  <si>
    <t>Тонкий пряный аромат с цитрусовыми оттенками, добавляет глубину вкусу.</t>
  </si>
  <si>
    <t>Мальтодекстрин, декстроза, соль поваренная, олеорезин кардамона</t>
  </si>
  <si>
    <t>Мальтодекстрин, декстроза, олеорезин кардамона</t>
  </si>
  <si>
    <t>экстракт кориандра</t>
  </si>
  <si>
    <t>Мягкий пряный вкус с легкими цитрусовыми нотами, балансирует рецептуру.</t>
  </si>
  <si>
    <t>Мальтодекстрин, декстроза, соль поваренная, олеорезин кориандра</t>
  </si>
  <si>
    <t>Мальтодекстрин, декстроза,  олеорезин кориандра</t>
  </si>
  <si>
    <t>экстракт корицы</t>
  </si>
  <si>
    <t>Теплый сладковато-пряный аромат, усиливает насыщенность вкуса.</t>
  </si>
  <si>
    <t>Мальтодекстрин, олеорезин корицы, антислеживатель Е 551.</t>
  </si>
  <si>
    <t>экстракт куркумы</t>
  </si>
  <si>
    <t>Пряный вкус с землистыми нотами, придает продукту характер и цвет.</t>
  </si>
  <si>
    <t>Мальтодекстрин, декстроза, экстракт натуральный куркумы</t>
  </si>
  <si>
    <t>Мальтодекстрин, соль поваренная, олеорезин куркумы, антислеживатель Е551</t>
  </si>
  <si>
    <t>Мальтодекстрин, олеорезин куркумы, антислеживатель Е551</t>
  </si>
  <si>
    <t xml:space="preserve">экстракт лука </t>
  </si>
  <si>
    <t>Насыщенный луковый вкус без резкости, усиливает мясные и соусные продукты.</t>
  </si>
  <si>
    <t>Мальтодекстрин, соль поваренная, натуральные вкусоароматические вещества</t>
  </si>
  <si>
    <t>экстракт лаврового листа</t>
  </si>
  <si>
    <t>Классический пряный аромат с древесными нотами, формирует «варочный» профиль.</t>
  </si>
  <si>
    <t>Мальтодекстрин, экстракт СО2 лавра</t>
  </si>
  <si>
    <t>экстракт лимона цедры</t>
  </si>
  <si>
    <t>Свежий цитрусовый аромат с яркой кислинкой, освежает вкусовую композицию.</t>
  </si>
  <si>
    <t>Мальтодекстрин, олеорезин цедры лимона, антислеживатель Е551.</t>
  </si>
  <si>
    <t xml:space="preserve">экстракт мускатного ореха </t>
  </si>
  <si>
    <t>Теплый пряный вкус с ореховыми нотами, добавляет глубину рецептуре.</t>
  </si>
  <si>
    <t>Мальтодекстрин, декстроза, соль поваренная, олеорезин мускатного ореха</t>
  </si>
  <si>
    <t>Мальтодекстрин, декстроза, олеорезин мускатного ореха</t>
  </si>
  <si>
    <t>экстракт мациса (мускатного цвета)</t>
  </si>
  <si>
    <t>Тонкий пряный аромат, мягче мускатного ореха, округляет вкус.</t>
  </si>
  <si>
    <t>Мальтодекстрин, декстроза, вещество натуральное вкусоароматическое олеорезин мациса</t>
  </si>
  <si>
    <t>экстракт можжевельника</t>
  </si>
  <si>
    <t>Смолисто-пряный аромат с хвойными нотами, идеально для мясных изделий.</t>
  </si>
  <si>
    <t>Мальтодекстрин, соль пищевая, натуральный олеорезин можжевельника</t>
  </si>
  <si>
    <t>экстракт мяты</t>
  </si>
  <si>
    <t>Освежающий мятный вкус, придает чистоту и яркость вкусовому профилю.</t>
  </si>
  <si>
    <t>Мальтодекстрин, натуральный экстракт мяты перечной, антислеживатель Е 551</t>
  </si>
  <si>
    <t>экстракт орегано</t>
  </si>
  <si>
    <t>Насыщенный травяной аромат с теплыми пряными нотами.</t>
  </si>
  <si>
    <t>Мальтодекстрин, декстроза, соль поваренная, экстракт натуральный орегано</t>
  </si>
  <si>
    <t>Мальтодекстрин, декстроза, экстракт натуральный орегано</t>
  </si>
  <si>
    <t>экстракт перца красного (Чили)</t>
  </si>
  <si>
    <t>Острый вкус с выраженной жгучестью, усиливает пикантность продукта.</t>
  </si>
  <si>
    <t>Мальтодекстрин, декстроза, экстракт СО2 перца Чили (капсикум)</t>
  </si>
  <si>
    <t xml:space="preserve">Мальтодекстрин, декстроза, соль поваренная, олеорезин перца Чили </t>
  </si>
  <si>
    <t>Мальтодекстрин, декстроза, олеорезин перца Чили</t>
  </si>
  <si>
    <t>экстракт перца душистого</t>
  </si>
  <si>
    <t>Пряный аромат с нотами гвоздики и корицы, придает глубину вкуса.</t>
  </si>
  <si>
    <t>мальтодекстрин, декстроза, соль поваренная, экстракт перца душистого</t>
  </si>
  <si>
    <t>мальтодекстрин, декстроза, экстракт перца душистого</t>
  </si>
  <si>
    <t>экстракт перца белого</t>
  </si>
  <si>
    <t>Мягкая перечная острота без резкости, подходит для деликатных продуктов.</t>
  </si>
  <si>
    <t xml:space="preserve">Мальтодекстрин, декстроза, соль поваренная, экстракт СО2 белого перца </t>
  </si>
  <si>
    <t>Мальтодекстрин, декстроза,  экстракт СО2 белого перца</t>
  </si>
  <si>
    <t>экстракт перца черного</t>
  </si>
  <si>
    <t>Классическая перечная острота с ярким ароматом.</t>
  </si>
  <si>
    <t>Мальтодекстрин, декстроза, соль поваренная, олеорезин перца черного</t>
  </si>
  <si>
    <t>Мальтодекстрин, декстроза, соль поваренная, экстракт перца черного СО2</t>
  </si>
  <si>
    <t>Мальтодекстрин, декстроза, олеорезин перца черного</t>
  </si>
  <si>
    <t>экстракт паприки</t>
  </si>
  <si>
    <t>Мягкий сладковатый вкус с легкими пряными нотами, улучшает цвет продукта.</t>
  </si>
  <si>
    <t>Мальтодекстрин, декстроза, соль пищевая, олеорезин паприки.</t>
  </si>
  <si>
    <t>экстракт паприки (копченой)</t>
  </si>
  <si>
    <t>Насыщенный копченый аромат с мягкой сладостью паприки.</t>
  </si>
  <si>
    <t>Мальтодекстрин, декстроза, соль пищевая, олеорезин паприки, ароматизатор коптильный.</t>
  </si>
  <si>
    <t>экстракт петрушки</t>
  </si>
  <si>
    <t>Свежий зеленый аромат, подчеркивает натуральность вкуса.</t>
  </si>
  <si>
    <t>Мальтодекстрин, декстроза, соль поваренная, экстракт петрушки СО2</t>
  </si>
  <si>
    <t>экстракт розмарина</t>
  </si>
  <si>
    <t>Пряный хвойный аромат, усиливает мясные и гастрономические продукты.</t>
  </si>
  <si>
    <t>Мальтодекстрин, декстроза, олеорезин розмарина, антислеживатель Е551</t>
  </si>
  <si>
    <t>Мальтодекстрин, декстроза, соль поваренная, олеорезин розмарина, антислеживатель Е551</t>
  </si>
  <si>
    <t>экстракт сельдерея</t>
  </si>
  <si>
    <t>Характерный овощной вкус, усиливает насыщенность рецептуры.</t>
  </si>
  <si>
    <t>Мальтодекстрин, декстроза, соль поваренная, олеорезин  сельдерея</t>
  </si>
  <si>
    <t>экстракт тмина</t>
  </si>
  <si>
    <t>Яркий пряный аромат с теплыми нотами, традиционен для мясных изделий.</t>
  </si>
  <si>
    <t>Мальтодекстрин, декстроза, соль поваренная, натуральный экстракт тмина</t>
  </si>
  <si>
    <t>экстракт тимьяна</t>
  </si>
  <si>
    <t>Насыщенный травяной аромат с легкой горчинкой.</t>
  </si>
  <si>
    <t>Мальтодекстрин, декстроза, соль поваренная, экстракт натуральный тимьяна</t>
  </si>
  <si>
    <t>экстракт кумина</t>
  </si>
  <si>
    <t>Теплый пряный вкус с ореховыми нотами, добавляет глубину блюдам.</t>
  </si>
  <si>
    <t>Мальтодекстрин, декстроза, соль поваренная, олеорезин  кумина, антислеживатель Е551</t>
  </si>
  <si>
    <t>экстракт укропа</t>
  </si>
  <si>
    <t>Свежий укропный аромат, подчеркивает натуральный профиль продукта.</t>
  </si>
  <si>
    <t>Мальтодекстрин, декстроза, соль поваренная, экстракт растительный пищевой укропа</t>
  </si>
  <si>
    <t>экстракт чеснока</t>
  </si>
  <si>
    <t>Насыщенный чесночный вкус без резкой остроты.</t>
  </si>
  <si>
    <t>Мальтодекстрин, декстроза, олеорезин чеснока</t>
  </si>
  <si>
    <t>Мальтодекстрин, декстроза, соль поваренная, олеорезин чеснока</t>
  </si>
  <si>
    <t>экстракт чеснока 1:2</t>
  </si>
  <si>
    <t>Концентрированный чесночный вкус для экономичного дозирования.</t>
  </si>
  <si>
    <t>ароматизатор "Фенхель"</t>
  </si>
  <si>
    <t>Сладковато-пряный аромат с анисовыми нотами, округляет вкус продукта.</t>
  </si>
  <si>
    <t>Мальтодекстрин, декстроза, соль поваренная, олеорезин фенхеля, антислеживающий агент Е 551</t>
  </si>
  <si>
    <t>Микронутриенты</t>
  </si>
  <si>
    <t>V Smart Plus D</t>
  </si>
  <si>
    <t>Источник витамина D3 на носителе мальтодекстрин, для стабильного внесения в рецептуры.</t>
  </si>
  <si>
    <t>состав: инкапсулированный витамин D3, мальтодекстрин</t>
  </si>
  <si>
    <t>5 г на кг готового продукта</t>
  </si>
  <si>
    <t>Комплекс витамина D3 с бамбуковой клетчаткой, подходит для функционального обогащения продуктов.</t>
  </si>
  <si>
    <t>состав: бамбуковая клетчатка, витамин D3</t>
  </si>
  <si>
    <t>от 31 г на кг готового продукта</t>
  </si>
  <si>
    <t>Комбинация цитрата магния и инкапсулированного витамина D3 на носителе мальтодекстрин.</t>
  </si>
  <si>
    <t>Цитрат магния, инкапсулированный витамин D3, мальтодекстрин</t>
  </si>
  <si>
    <t>от 5 г на кг готового продукта</t>
  </si>
  <si>
    <t>V Smart Plus Инулин</t>
  </si>
  <si>
    <t>Инулин из волокон цикория на носителе мальтодекстрин, используется как источник пищевых волокон.</t>
  </si>
  <si>
    <t>состав: инулин из волокон цикория, мальтодекстрин</t>
  </si>
  <si>
    <t>до 30 г на кг готового продукта</t>
  </si>
  <si>
    <t>V Smart Plus Mg</t>
  </si>
  <si>
    <t>Источник магния в форме цитрата с носителем мальтодекстрин.</t>
  </si>
  <si>
    <t>состав: магния цитрат, носитель (мальтодекстрин)</t>
  </si>
  <si>
    <t>10 г на кг готового продукта</t>
  </si>
  <si>
    <t>Многокомпонентный минеральный комплекс на основе магния и калия с добавлением экстракта граната.</t>
  </si>
  <si>
    <t>Цитрат калия, цитрат магния, мальтодекстрин, экстракт граната, оксид магния, агент антислеживающий диоксид кремния</t>
  </si>
  <si>
    <t>15 г на кг готового продукта</t>
  </si>
  <si>
    <t>V Smart Plus В6</t>
  </si>
  <si>
    <t>Комплекс витаминов и микроэлементов с витамином B6, витамином C из ацеролы, цинком и селеном.</t>
  </si>
  <si>
    <t>Экстракт ацеролы (экстракт ацеролы Mallpighia glabra - источник витамина С), мальтодекстрин, цитрат цинка, селенметионин (L-Selenomethionine), пиридоксина гидрохлорид, цианокобаламин, агент антислеживающий диоксид кремния.</t>
  </si>
  <si>
    <t>V Smart Plus Са</t>
  </si>
  <si>
    <t>Кальциевый комплекс с витаминами C, B6, B12 и витамином D3 для обогащения пищевых продуктов.</t>
  </si>
  <si>
    <t xml:space="preserve">  Лактат кальция,  мальтодекстрин, экстракт ацеролы (экстракт ацеролы Mallpighia glabra-источник витамина С),  цитрат кальция, пиридоксина гидрохлорид, цианокобаламин, холекальциферол,  агент антислеживающий диоксид кремния.</t>
  </si>
  <si>
    <t>V Smart Plus Витамины</t>
  </si>
  <si>
    <t>Витаминно-минеральный комплекс на основе кальция и витаминов группы B.</t>
  </si>
  <si>
    <t>Цитрат кальция, лактат кальция, никотинамид,  рибофлавин, тиамин, пиридоксина гидрохлорид,  фолиевая кислота,  цианокобаламин</t>
  </si>
  <si>
    <t>2 г на кг готового продукта</t>
  </si>
  <si>
    <t>Комплекс магния, кальция, цинка, селена и витаминов группы B с добавлением инулина.</t>
  </si>
  <si>
    <t>Цитарат магния, цитрат кальция, инулин, лактат кальция, цитрат цинка, селенметионин (L-Selenmethionine), пиридоксин,  цианокобаламин</t>
  </si>
  <si>
    <t>Минерально-витаминный комплекс магния и цинка с витамином A.</t>
  </si>
  <si>
    <t>Магния цитрат,  цитрат цинка, ретинола ацетат</t>
  </si>
  <si>
    <t>Комплекс магния с витамином A для функционального обогащения рецептур.</t>
  </si>
  <si>
    <t>Магния цитрат,  ретинола ацетат</t>
  </si>
  <si>
    <t>Ароматизаторы</t>
  </si>
  <si>
    <t>V Арома "Апельсин"</t>
  </si>
  <si>
    <t>Яркий цитрусовый аромат спелого апельсина.</t>
  </si>
  <si>
    <t>Мальтодекстрин, декстроза, вкусоароматические вещества</t>
  </si>
  <si>
    <t>4-6 г
на 1 кг продукта</t>
  </si>
  <si>
    <t>"V Арома Абрикос"</t>
  </si>
  <si>
    <t>Мягкий фруктовый аромат с характерной сладкой нотой абрикоса.</t>
  </si>
  <si>
    <t>"V Арома Бекон"</t>
  </si>
  <si>
    <t>Насыщенный аромат жареного бекона с мясными нотами.</t>
  </si>
  <si>
    <t>1-3 г
на 1 кг продукта</t>
  </si>
  <si>
    <t>V Арома "Ваниль"</t>
  </si>
  <si>
    <t>Классический сладкий ванильный аромат.</t>
  </si>
  <si>
    <t>3-6 г
на 1 кг продукта</t>
  </si>
  <si>
    <t>V Арома "Вишня"</t>
  </si>
  <si>
    <t>Фруктовый аромат вишни с легкой кислинкой.</t>
  </si>
  <si>
    <t>3-5 г
на 1 кг продукта</t>
  </si>
  <si>
    <t>"V Арома Говядина"</t>
  </si>
  <si>
    <t>Мясной аромат говядины, подходит для мясных изделий.</t>
  </si>
  <si>
    <t>"V Арома Чернослив"</t>
  </si>
  <si>
    <t>Сладковато-фруктовый аромат сушеного чернослива.</t>
  </si>
  <si>
    <t>"V Арома Дым"</t>
  </si>
  <si>
    <t>Аромат копчения с выраженными дымными нотами.</t>
  </si>
  <si>
    <t>2-5 г
на 1 кг продукта</t>
  </si>
  <si>
    <t>V Арома "Карамель"</t>
  </si>
  <si>
    <t>Сладкий карамельный аромат с нотами жженого сахара.</t>
  </si>
  <si>
    <t>"V Арома Курица"</t>
  </si>
  <si>
    <t>Классический аромат куриного мяса.</t>
  </si>
  <si>
    <t>"V Арома Свинина"</t>
  </si>
  <si>
    <t>Мясной аромат свинины, усиливает вкус изделий.</t>
  </si>
  <si>
    <t>"V Арома Сливки"</t>
  </si>
  <si>
    <t>Мягкий сливочный аромат.</t>
  </si>
  <si>
    <t>2-3 г
на 1 кг продукта</t>
  </si>
  <si>
    <t>V Арома "Слива"</t>
  </si>
  <si>
    <t>Фруктовый аромат спелой сливы.</t>
  </si>
  <si>
    <t>V Арома "Сметана"</t>
  </si>
  <si>
    <t>Кисломолочный аромат сметаны.</t>
  </si>
  <si>
    <t>Ароматизатор "Грецкий орех"</t>
  </si>
  <si>
    <t>Ореховый аромат с мягкими маслянистыми нотами.</t>
  </si>
  <si>
    <t>2-4 г
на 1 кг продукта</t>
  </si>
  <si>
    <t>Ароматизатор "Грибы"</t>
  </si>
  <si>
    <t>Характерный грибной аромат.</t>
  </si>
  <si>
    <t>7-10 г
на 1 кг продукта</t>
  </si>
  <si>
    <t>Ароматизатор "Индейка"</t>
  </si>
  <si>
    <t>Нежный мясной аромат индейки.</t>
  </si>
  <si>
    <t>Ароматизатор "Клюква"</t>
  </si>
  <si>
    <t>Яркий ягодный аромат с кисло-сладким профилем.</t>
  </si>
  <si>
    <t>Ароматизатор "Копченость"</t>
  </si>
  <si>
    <t>Аромат копченых продуктов с дымными нотами.</t>
  </si>
  <si>
    <t>Ароматизатор "Курица"</t>
  </si>
  <si>
    <t>Аромат куриного мяса для мясных и кулинарных изделий.</t>
  </si>
  <si>
    <t>Ароматизатор "Курица-гриль"</t>
  </si>
  <si>
    <t>Аромат жареной курицы с поджаристыми нотами.</t>
  </si>
  <si>
    <t>Ароматизатор "Лимон"</t>
  </si>
  <si>
    <t>Свежий цитрусовый аромат лимона.</t>
  </si>
  <si>
    <t>Ароматизатор "Лук"</t>
  </si>
  <si>
    <t>Натуральный луковый аромат.</t>
  </si>
  <si>
    <t>4 - 8 г
на 1 кг продукта</t>
  </si>
  <si>
    <t>Ароматизатор "Лук жареный"</t>
  </si>
  <si>
    <t>Аромат жареного лука с карамелизованными нотами.</t>
  </si>
  <si>
    <t>V Арома "Манго"</t>
  </si>
  <si>
    <t>Экзотический фруктовый аромат манго.</t>
  </si>
  <si>
    <t>V Арома "Малина"</t>
  </si>
  <si>
    <t>Ягодный аромат малины с легкой сладостью.</t>
  </si>
  <si>
    <t>3-6 г/кг продукта</t>
  </si>
  <si>
    <t>V Арома "Мед"</t>
  </si>
  <si>
    <t>Сладкий медовый аромат.</t>
  </si>
  <si>
    <t>Ароматизатор "Можжевельник"</t>
  </si>
  <si>
    <t>Пряный аромат с хвойными нотами.</t>
  </si>
  <si>
    <t>1-2 г
на 1 кг продукта</t>
  </si>
  <si>
    <t>Ароматизатор "Молоко свежее"</t>
  </si>
  <si>
    <t>Нежный аромат свежего молока.</t>
  </si>
  <si>
    <t>Ароматизатор "Молоко топленое"</t>
  </si>
  <si>
    <t>Молочный аромат с карамельными нотами.</t>
  </si>
  <si>
    <t>Ароматизатор "Мясо"</t>
  </si>
  <si>
    <t>Универсальный мясной аромат.</t>
  </si>
  <si>
    <t>2-4 грамма
на 1 кг продукта</t>
  </si>
  <si>
    <t>Ароматизатор "Мясо копченое"</t>
  </si>
  <si>
    <t>Мясной аромат с выраженной копченой нотой.</t>
  </si>
  <si>
    <t>Ароматизатор "Паприка"</t>
  </si>
  <si>
    <t>Пряный аромат паприки с легкой сладостью.</t>
  </si>
  <si>
    <t>Ароматизатор "Печень"</t>
  </si>
  <si>
    <t>Характерный аромат печени.</t>
  </si>
  <si>
    <t>Ароматизатор "Пломбир"</t>
  </si>
  <si>
    <t>Сливочно-ванильный аромат мороженого.</t>
  </si>
  <si>
    <t>Ароматизатор "Салями"</t>
  </si>
  <si>
    <t>Пряный мясной аромат колбасы салями.</t>
  </si>
  <si>
    <t>Ароматизатор "Сливки"</t>
  </si>
  <si>
    <t>Ароматизатор "Сыр"</t>
  </si>
  <si>
    <t>Насыщенный сырный аромат.</t>
  </si>
  <si>
    <t>Ароматизатор "Томат"</t>
  </si>
  <si>
    <t>Натуральный томатный аромат.</t>
  </si>
  <si>
    <t>Ароматизатор "Трюфель"</t>
  </si>
  <si>
    <t>Интенсивный грибной аромат с трюфельными нотами.</t>
  </si>
  <si>
    <t>Ароматизатор "Тирольский"</t>
  </si>
  <si>
    <t>Пряно-мясной аромат в традиционном стиле.</t>
  </si>
  <si>
    <t>3-6 грамма
на 1 кг продукта</t>
  </si>
  <si>
    <t>Ароматизатор "Хрен"</t>
  </si>
  <si>
    <t>Острый аромат хрена с характерной жгучей нотой.</t>
  </si>
  <si>
    <t>V Арома "Шоколад"</t>
  </si>
  <si>
    <t>Насыщенный шоколадный аромат.</t>
  </si>
  <si>
    <t>Ароматизатор "Шашлык"</t>
  </si>
  <si>
    <t>Аромат жареного мяса с дымными нотами.</t>
  </si>
  <si>
    <t>V Арома "Ванильно-сливочная"</t>
  </si>
  <si>
    <t>Сладкий сливочно-ванильный аромат.</t>
  </si>
  <si>
    <t>Мальтодекстрин, декстроза, ароматизаторы пищевые, олеорезины специй (мускатный орех)</t>
  </si>
  <si>
    <t>5-10 г/кг продукта</t>
  </si>
  <si>
    <t>для выпечки</t>
  </si>
  <si>
    <t>V Арома "Выпечка"</t>
  </si>
  <si>
    <t>Аромат свежей выпечки с теплыми нотами теста.</t>
  </si>
  <si>
    <t>Мальтодекстрин, декстроза,  олеорезины специй (корица, имбирь, гвоздика, кардамон, душистый перец), бадьян молотый</t>
  </si>
  <si>
    <t>V Арома "Имбирный пряник"</t>
  </si>
  <si>
    <t>Пряно-сладкий аромат с нотами имбиря и специй.</t>
  </si>
  <si>
    <t>Мальтодекстрин, декстроза,  олеорезины специй (имбирь, корица, гвоздика), ароматизаторы пищевые</t>
  </si>
  <si>
    <t>V Арома "Цитрусовый микс"</t>
  </si>
  <si>
    <t>Комплексный аромат цитрусовых фруктов.</t>
  </si>
  <si>
    <t>Мальтодекстрин, декстроза,  эфирное масло апельсина, олеорезин корицы, натуральные ароматизаторы</t>
  </si>
  <si>
    <t>V Арома "Чизкейк"</t>
  </si>
  <si>
    <t>Сливочно-десертный аромат с сырной нотой.</t>
  </si>
  <si>
    <t>Мальтодекстрин, декстроза, ароматизаторы пищевые</t>
  </si>
  <si>
    <t>V Арома "Брауни""</t>
  </si>
  <si>
    <t>Шоколадно-десертный аромат с нотами выпечки.</t>
  </si>
  <si>
    <t>от 5 г/кг продукта</t>
  </si>
  <si>
    <t>Пищевые концентраты и основы</t>
  </si>
  <si>
    <t>Бульон Говяжий</t>
  </si>
  <si>
    <t>Сухой говяжий бульон с овощной основой (лук, морковь), зеленью петрушки и тёплой нотой куркумы, с ароматом говядины.</t>
  </si>
  <si>
    <t>Соль, крахмал кукурузный, петрушка, сахар, лук, морковь сушеная, куркума, ароматизатор Говядина.</t>
  </si>
  <si>
    <t>согласно рецептуры</t>
  </si>
  <si>
    <t xml:space="preserve">Бульон Говяжий </t>
  </si>
  <si>
    <t>Сухой говяжий бульон с экстрактом говяжьего белка и соевым соусом: насыщенный мясной профиль, дополненный куркумой и растительным маслом.</t>
  </si>
  <si>
    <t>соль пищевая, усилитель вкуса и аромата (глутамат натрия), сахар, мальтодекстрин, экстракт животного белка (говяжий), соевый соус, крахмал кукурузный, куркума, растительное масло, ароматизатор Говядина.</t>
  </si>
  <si>
    <t>Сухой говяжий бульон с пряностями и усилителем вкуса (E621): выразительный мясной профиль с ароматом говядины.</t>
  </si>
  <si>
    <t>соль пищевая, сахар, пряности, крахмал, усилитель вкуса и аромата (Е621), ароматизатор «Говядина».</t>
  </si>
  <si>
    <t>Бульон Овощной</t>
  </si>
  <si>
    <t>Сухой овощной бульон с морковью, луком, петрушкой и куркумой: лёгкий, понятный овощной вкус.</t>
  </si>
  <si>
    <t>Соль, сахар, морковь сушеная, мальтодекстрин, петрушка, куркума, лук.</t>
  </si>
  <si>
    <t xml:space="preserve">Бульон Грибной </t>
  </si>
  <si>
    <t>Сухой грибной бульон с луком, петрушкой и мальтодекстрином: ровный вкус и яркий грибной аромат.</t>
  </si>
  <si>
    <t>Соль, крахмал кукурузный, мальтодекстрин, петрушка, сахар, лук, ароматизатор Грибы.</t>
  </si>
  <si>
    <t>Сухой грибной бульон с луком и петрушкой: классический грибной профиль.</t>
  </si>
  <si>
    <t>Соль, крахмал кукурузный, петрушка, сахар, лук, ароматизатор Грибы.</t>
  </si>
  <si>
    <t>Сухой грибной бульон с сушёными шампиньонами, молочной сывороткой и специями: более «плотный» грибной вкус с зеленью.</t>
  </si>
  <si>
    <t>Соль пищевая, крахмал картофельный, грибы сушеные шампиньоны, сахар, сыворотка сухая молочная, специи (лук сушеный, укроп зелень сушеный, петрушка зелень сушеная), усилитель вкуса и аромата Е621, ароматизатор «Грибы».</t>
  </si>
  <si>
    <t>Сухой грибной бульон с луком и петрушкой: яркий грибной аромат и чистый профиль.</t>
  </si>
  <si>
    <t>Бульон Рыбный</t>
  </si>
  <si>
    <t>Сухой рыбный бульон с луком и петрушкой: аккуратный рыбный профиль для супов и соусов.</t>
  </si>
  <si>
    <t>Соль, крахмал кукурузный, петрушка, сахар, лук, ароматизатор Рыба.</t>
  </si>
  <si>
    <t>Бульон Куриный</t>
  </si>
  <si>
    <t>Сухой куриный бульон с петрушкой и куркумой: мягкий куриный вкус и тёплый оттенок специй.</t>
  </si>
  <si>
    <t>Соль, крахмал кукурузный, петрушка, сахар, лук, куркума, ароматизатор Курица.</t>
  </si>
  <si>
    <t xml:space="preserve">Бульон Куриный </t>
  </si>
  <si>
    <t>Сухой куриный бульон с экстрактом животного белка и соевым соусом: насыщенный профиль с куркумой и растительным маслом.</t>
  </si>
  <si>
    <t>соль пищевая, усилитель вкуса и аромата (глутамат натрия), сахар, мальтодекстрин, экстракт животного белка, соевый соус, крахмал кукурузный, куркума, растительное масло, ароматизатор Курица.</t>
  </si>
  <si>
    <t>Сухой куриный бульон с экстрактом животного белка и соевым соусом: яркий куриный вкус с пряной нотой куркумы.</t>
  </si>
  <si>
    <t>соль пищевая, усилитель вкуса и аромата (глутамат натрия), сахар, мальтодекстрин, экстракт животного белка, соевый соус, куркума, растительное масло, ароматизатор Курица.</t>
  </si>
  <si>
    <t>Сухой куриный бульон с петрушкой и куркумой: классический профиль с приятной пряностью.</t>
  </si>
  <si>
    <t>Бульон Баранина</t>
  </si>
  <si>
    <t>Сухой бульон со вкусом баранины с пряностями и пшеничной мукой: выраженный мясной профиль.</t>
  </si>
  <si>
    <t>соль пищевая, сахар, пряности, мука пшеничная, усилитель вкуса и аромата (Е621), ароматизатор «Баранина».</t>
  </si>
  <si>
    <t>Бульон Сырный</t>
  </si>
  <si>
    <t>Сухой сырный бульон с сухой сывороткой и сырным порошком, со специями (белый перец, базилик, пажитник): насыщенный сливочно-сырный вкус.</t>
  </si>
  <si>
    <t>соль пищевая, сахар, сыворотка сухая, сырный порошок, специи (перец белый, базилик, пажитник),  усилитель вкуса и аромата (Е621), ароматизаторы.</t>
  </si>
  <si>
    <t>Бульон Креветочный</t>
  </si>
  <si>
    <t>Сухой бульон с профилем «креветка-лимон»: пряный вкус с морской нотой и цитрусовым акцентом.</t>
  </si>
  <si>
    <t>соль пищевая, сахар, пряности, мука пшеничная, усилитель вкуса и аромата (Е621), ароматизаторы (Креветка, Лимон).</t>
  </si>
  <si>
    <t>Бульон Том ям</t>
  </si>
  <si>
    <t>Сухой бульон в стиле Tom Yum: пряный профиль с соевым соусом и молочной сывороткой, дополненный ароматизаторами.</t>
  </si>
  <si>
    <t>соль пищевая, сахар, сыворотка молочная, пряности, мука пшеничная, соевый соус, усилитель вкуса и аромата (Е621), ароматизаторы</t>
  </si>
  <si>
    <t>Основа для супа говяжьего</t>
  </si>
  <si>
    <t>Сухая основа для говяжьего супа с морковью, петрушкой, куркумой и чёрным перцем: удобная база с ароматом говядины.</t>
  </si>
  <si>
    <t>Соль, мука, куркума, морковь сушеная, петрушка, перец черный, ароматизатор Говядина.</t>
  </si>
  <si>
    <t>Основа для супа горохового</t>
  </si>
  <si>
    <t>Сухая основа для горохового супа с горохом, морковью, петрушкой, куркумой и чёрным перцем: классический «домашний» профиль.</t>
  </si>
  <si>
    <t>Соль, горох, мука, морковь сушеная, петрушка, перец черный, куркума.</t>
  </si>
  <si>
    <t>Основа для супа грибного</t>
  </si>
  <si>
    <t>Сухая основа для грибного супа с морковью, петрушкой, куркумой и чёрным перцем: ровный вкус с ароматом грибов.</t>
  </si>
  <si>
    <t>Соль, мука, морковь сушеная, куркума, петрушка, перец черный, ароматизатор Грибы.</t>
  </si>
  <si>
    <t>Основа для супа куриного</t>
  </si>
  <si>
    <t>Сухая основа для куриного супа с морковью, петрушкой, куркумой и чёрным перцем: понятный куриный профиль.</t>
  </si>
  <si>
    <t>Соль, мука, куркума, морковь сушеная, петрушка, перец черный, ароматизатор Курица.</t>
  </si>
  <si>
    <t>Основа для супа овощного</t>
  </si>
  <si>
    <t>Сухая овощная основа с морковью, петрушкой, куркумой и чёрным перцем: универсальная база для супов.</t>
  </si>
  <si>
    <t>Соль, мука, куркума, морковь сушеная, петрушка, перец черный.</t>
  </si>
  <si>
    <t>Суп быстрого приготовления "Борщ"</t>
  </si>
  <si>
    <t>Суп быстрого приготовления «Борщ» с набором сушёных овощей (свёкла, капуста, картофель, морковь, петрушка): узнаваемый овощной профиль.</t>
  </si>
  <si>
    <t>Овощи сушеные (свекла, капуста, картофель, петрушка, морковь), крахмал кукурузный, соль.</t>
  </si>
  <si>
    <t>Суп быстрого приготовления "Гороховый"</t>
  </si>
  <si>
    <t>Суп быстрого приготовления на лапше с молотым горохом, морковью, зеленью петрушки и куркумой: сытный гороховый вкус.</t>
  </si>
  <si>
    <t>Лапша, горох молотый, петрушка зелень, морковь сушеная, куркума, соль</t>
  </si>
  <si>
    <t>Суп быстрого приготовления "Грибной"</t>
  </si>
  <si>
    <t>Суп быстрого приготовления на лапше с овощной основой и ароматизатором: мягкий грибной профиль.</t>
  </si>
  <si>
    <t>Лапша, соль, петрушка зелень, куркума, морковь сушеная, крахмал кукурузный, ароматизатор.</t>
  </si>
  <si>
    <t>Суп быстрого приготовления "Говядина"</t>
  </si>
  <si>
    <t>Суп быстрого приготовления на лапше с овощной основой и ароматизатором: мясной профиль «говядина».</t>
  </si>
  <si>
    <t>Суп быстрого приготовления "Куриный"</t>
  </si>
  <si>
    <t>Суп быстрого приготовления на лапше с овощной основой и ароматизатором: классический куриный профиль.</t>
  </si>
  <si>
    <t>Суп быстрого приготовления "Овощной"</t>
  </si>
  <si>
    <t>Суп быстрого приготовления на лапше с горохом, морковью, зеленью петрушки и куркумой: лёгкий овощной профиль.</t>
  </si>
  <si>
    <t>Лапша, горох, соль, петрушка зелень, куркума, морковь сушеная.</t>
  </si>
  <si>
    <t>Суп быстрого приготовления "Томатный"</t>
  </si>
  <si>
    <t>Суп быстрого приготовления с молотыми томатами, базиликом, луком и морковью: яркий томатный вкус с травяной нотой.</t>
  </si>
  <si>
    <t>Томаты молотые, крахмал кукурузный, базилик, морковь, лук, куркума, соль.</t>
  </si>
  <si>
    <t>V Темпурная мука</t>
  </si>
  <si>
    <t>Сухая смесь для темпуры на пшеничной муке и тапиоковом крахмале: стабильная текстура благодаря регуляторам кислотности и эмульгатору E471.</t>
  </si>
  <si>
    <t>Мука пшеничная, крахмал тапиоковый,  мальтодекстрин,  регуляторы кислотности (Е 450, Е 341, Е 500), эмульгатор Е 471</t>
  </si>
  <si>
    <t>соус "Болоньезе"</t>
  </si>
  <si>
    <t>Сухой соус «Болоньезе» на крахмале и пшеничной муке с томатами, паприкой, луком, чесноком и укропом: насыщенный томатно-овощной профиль.</t>
  </si>
  <si>
    <t>состав: крахмал кукурузный, мука пшеничная 1с, пряности (томаты молотые, паприка красная сладкая, морковь сушеная гранулированная, экстракт перца черного, лук сушеный, укроп, чеснок), сахар, соль поваренная</t>
  </si>
  <si>
    <t>соус "Бешамель"</t>
  </si>
  <si>
    <t>Сухой соус «Бешамель» на крахмале и пшеничной муке с сухими сливками и специями: мягкий сливочный профиль с пряной нотой.</t>
  </si>
  <si>
    <t>состав: крахмал кукурузный, мука пшеничная 1с, сливки сухие,  соль поваренная, сахар, пряности (лук сушеный, петрушка сушеная, экстракт перца черного), ароматизатор</t>
  </si>
  <si>
    <t>соус "Грибной"</t>
  </si>
  <si>
    <t>Сухой грибной соус с сушёными шампиньонами, овощами и специями (тмин, укроп, чёрный перец): яркий грибной вкус.</t>
  </si>
  <si>
    <t>состав: крахмал кукурузный, мука пшеничная 1с, пряности (шампиньоны сушеные, экстракт перца черного, ароматизатор "Грибы", морковь сушеная, укроп сушеный, лук сушеный, тмин молотый), соль поваренная, сахар</t>
  </si>
  <si>
    <t>соус "Карри"</t>
  </si>
  <si>
    <t>Сухой соус карри со смесью специй (куркума, кориандр, имбирь, кумин, кардамон, мускат, пажитник, корица, гвоздика): насыщенный пряный профиль.</t>
  </si>
  <si>
    <t>состав: крахмал  кукурузный, мука пшеничная 1с, пряности (куркума, кориандр,  имбирь, кумин, кардамон, мускатный орех, пажитник, корица, гвоздика), соль поваренная, сахар.</t>
  </si>
  <si>
    <t>соус "Песто"</t>
  </si>
  <si>
    <t>Сухой соус «Песто» с базиликом, кунжутом, сельдереем и чесноком, с ореховой нотой (ароматизатор «Грецкий орех»).</t>
  </si>
  <si>
    <t>состав: крахмал кукурузный, мука пшеничная 1с, пряности (базилик сушеный, сельдерей, кунжутное семя, чеснок гранулированный, экстракт перца черного), соль поваренная, сахар, ароматизатор "Грецкий орех"</t>
  </si>
  <si>
    <t>соус "Васаби Нежный"</t>
  </si>
  <si>
    <t>Сухой соус в стиле васаби на основе хрена и горчицы: мягкая острота и узнаваемый профиль (с красителями E102, E133).</t>
  </si>
  <si>
    <t>состав: хрен сушеный молотый, горчичный порошок, крахмал кукурузный, сахар, соль пищевая, регулятор кислотности Е 330, ароматизатор, краситель (Е 102, Е 133).</t>
  </si>
  <si>
    <t>соус "Васаби Острый"</t>
  </si>
  <si>
    <t>Сухой соус в стиле васаби на основе хрена и горчицы: более выраженная острота (с красителями E102, E133).</t>
  </si>
  <si>
    <t>состав: хрен сушеный молотый, горчичный порошок, крахмал кукурузный, соль пищевая, сахар, регулятор кислотности Е 330, ароматизатор, краситель (Е 102, Е 133).</t>
  </si>
  <si>
    <t>соус "Демиглас"</t>
  </si>
  <si>
    <t>Сухой соус «Демиглас» на мальтодекстрине и тапиоковом крахмале с ароматом говядины, перцем и тмином, с карамельным колером.</t>
  </si>
  <si>
    <t>мальтодекстрин, декстроза, крахмал тапиоковый, соль поваренная, ароматизатор Говядина, пряности (перец черный, тмин), антиокислитель Е 330, краситель (сахарный колер).</t>
  </si>
  <si>
    <t>Соевый соус</t>
  </si>
  <si>
    <t>Сухой соевый соус с ферментированным соевым соусом и карамельным колером, с усилителем вкуса (E621).</t>
  </si>
  <si>
    <t>состав: ферментированный соевый соус, мальтодекстрин, соль, краситель (карамельный колер), усилитель вкуса и аромата (Е621).</t>
  </si>
  <si>
    <t>Смеси специй, пряностей</t>
  </si>
  <si>
    <t>Тематические/направленные смеси</t>
  </si>
  <si>
    <t>Для аджики</t>
  </si>
  <si>
    <t>Пряная смесь для аджики с яркой остротой, чесночными и травяными нотами</t>
  </si>
  <si>
    <t>Кориандр, перец красный чили, куркума, паприка красная сладкая, горчичное семя желтое, укроп, пажитник, лавровый лист, чеснок, петрушка, базилик, майоран.</t>
  </si>
  <si>
    <t>Смесь пряностей без соли Пак. В. 250*400 - 1 кг Пак. В. 400*600 - 3 кг Бум. М. 58*40*13 - 5 кг Бум. Б. 92*50*13 - 15 кг</t>
  </si>
  <si>
    <t>Классическая смесь для аджики с выраженным острым и пряным вкусом</t>
  </si>
  <si>
    <t>Пряности (перец красный чили, паприка красная сладкая, кориандр, чеснок, пажитник), соль.</t>
  </si>
  <si>
    <t>Смесь пряностей с солью Пак. В. 250*400 - 2 кг Пак. В. 400*600 - 5 кг Бум. М. 58*40*13 - 10 кг Бум. Б. 92*50*13 - 25 кг</t>
  </si>
  <si>
    <t>Восточная</t>
  </si>
  <si>
    <t>Ароматная восточная смесь с тёплыми пряными и сладковато-острыми нотами</t>
  </si>
  <si>
    <t>Корица молотая, имбирь молотый,
бадьян молотый,перец душистый молотый, гвоздика молотая, кардамон молотый, перец черный молотый.</t>
  </si>
  <si>
    <t>Для выпечки</t>
  </si>
  <si>
    <t>Пряная смесь для выпечки с тёплым сладким ароматом специй</t>
  </si>
  <si>
    <t>корица, мускатный орех, имбирь, гвоздика, перец душистый</t>
  </si>
  <si>
    <t xml:space="preserve">Для говядины </t>
  </si>
  <si>
    <t>Смесь специй для говядины с насыщенным мясным и пряным профилем</t>
  </si>
  <si>
    <t>Перец черный, лук, укроп, петрушка, сахар, базилик, лавровый лист, перец красный чили.</t>
  </si>
  <si>
    <t>Ароматная приправа для говядины с пряно-перечными нотами</t>
  </si>
  <si>
    <t>Соль, кориандр, паприка красная сладкая, чеснок, лук, горчичный порошок, перец черный, горчичное семя желтое, мускатный орех, перец душистый.</t>
  </si>
  <si>
    <t>Для говядины</t>
  </si>
  <si>
    <t>Классическая смесь специй для говядины с глубоким вкусом</t>
  </si>
  <si>
    <t>Кориандр, паприка красная сладкая, чеснок, лук сушеный, горчичный порошок, перец черный, семя горчицы, мускатный орех, перец душистый.</t>
  </si>
  <si>
    <t>Для засолки помидоров</t>
  </si>
  <si>
    <t>Смесь специй для засолки помидоров с пряно-травяным ароматом</t>
  </si>
  <si>
    <t>Кориандр, перец душистый, лук, горчичное семя желтое, петрушка, укроп.</t>
  </si>
  <si>
    <t>Ароматная приправа для засолки помидоров с листовыми и пряными нотами</t>
  </si>
  <si>
    <t>Сахар, соль, кориандр, морковь, укроп, перец душистый, горчичное семя желтое, лавровый лист, лист вишни, перец черный, лист черной смородины.</t>
  </si>
  <si>
    <t>Для засолки огурцов</t>
  </si>
  <si>
    <t>Классическая смесь для засолки огурцов с чесночным и пряным вкусом</t>
  </si>
  <si>
    <t>Горчичное семя желтое, кориандр, петрушка, укроп, чеснок, перец черный, лавровый лист.</t>
  </si>
  <si>
    <t>Насыщенная смесь для засолки огурцов с выраженным ароматом специй</t>
  </si>
  <si>
    <t>Сахар, соль, чеснок, лист черной смородины, кориандр, укроп, перец душистый, горчичное семя желтое, лист вишни, лавровый лист, перец черный, хрен.</t>
  </si>
  <si>
    <t>Для засолки грибов</t>
  </si>
  <si>
    <t>Пряная смесь для засолки грибов с лесными и травяными нотами</t>
  </si>
  <si>
    <t>Перец душистый, укроп, лавровый лист, петрушка, лук, перец черный, лист черной смородины.</t>
  </si>
  <si>
    <t>Для гриля с солью</t>
  </si>
  <si>
    <t>Смесь специй для гриля с насыщенным пряно-острым вкусом</t>
  </si>
  <si>
    <t>Специи (кориандр, чеснок, петрушка, горчичный порошок, перец черный, перец красный чили, куркума, пажитник, тмин, имбирь корень), соль.</t>
  </si>
  <si>
    <t>Для гриля</t>
  </si>
  <si>
    <t>Ароматная смесь для гриля с папричной и чесночной нотой</t>
  </si>
  <si>
    <t>Паприка красная сладкая, усилитель вкуса и аромата Е621, чеснок, перец черный, перец красный чили, майоран, розмарин.</t>
  </si>
  <si>
    <t>Пряная смесь для гриля с травяным и перечным профилем</t>
  </si>
  <si>
    <t>Перец черный, базилик, чеснок, перец красный сладкий, орегано, тимьян, перец красный чили.</t>
  </si>
  <si>
    <t>Интенсивная смесь для гриля с ярким цветом и вкусом</t>
  </si>
  <si>
    <t>Паприка красная сладкая, кориандр, куркума, перец красный чили, перец черный, усилитель вкуса и аромата Е621, чеснок, базилик, петрушка.</t>
  </si>
  <si>
    <t>Для гуляша с солью</t>
  </si>
  <si>
    <t>Классическая приправа для гуляша с насыщенным папричным вкусом</t>
  </si>
  <si>
    <t>Специи (паприка красная сладкая, кориандр, горчичный порошок, перец чили красный, чеснок, перец черный, лук, лавровый лист, майоран, укроп), соль.</t>
  </si>
  <si>
    <t>Для гуляша без соли</t>
  </si>
  <si>
    <t>Пряная смесь для гуляша с глубоким ароматом специй</t>
  </si>
  <si>
    <t>Паприка красная сладкая, кориандр, чеснок, горчичный порошок, укроп, перец красный чили, пажитник, перец черный, лук, лавровый лист, майоран.</t>
  </si>
  <si>
    <t>Для сала</t>
  </si>
  <si>
    <t>Смесь специй для сала с пряно-перечным характером</t>
  </si>
  <si>
    <t>Перец красный сладкий, кориандр, перец черный, базилик, имбирь молотый, перец красный чили.</t>
  </si>
  <si>
    <t>Базовые универсальные смеси и приправы</t>
  </si>
  <si>
    <t>Европейская</t>
  </si>
  <si>
    <t>Универсальная европейская смесь с мягким пряным вкусом</t>
  </si>
  <si>
    <t>Соль, тмин молотый, перец черный молотый, лук, сумах, крахмал кукурзный.</t>
  </si>
  <si>
    <t>Специализированные и фирменные бленды</t>
  </si>
  <si>
    <t>Золотистая</t>
  </si>
  <si>
    <t>Ароматная смесь с тёплым пряным вкусом и золотистым цветом</t>
  </si>
  <si>
    <t>кунжут, куркума, перец красный сладкий, кориандр, орегано, петрушка, майоран, горчичный порошок, пажитник, корица, тмин, чеснок, перец черный</t>
  </si>
  <si>
    <t>Пряная смесь с мягкими восточными нотами</t>
  </si>
  <si>
    <t>пряности (куркума, имбирь, корица, цедра апельсина, бадьян, гвоздика, перец черный, кардамон), глюкоза</t>
  </si>
  <si>
    <t>Нежная пряная смесь с округлым вкусом</t>
  </si>
  <si>
    <r>
      <t>сухое кокосовое молоко,</t>
    </r>
    <r>
      <rPr>
        <b/>
        <sz val="9"/>
        <color theme="1"/>
        <rFont val="Calibri"/>
        <family val="2"/>
        <charset val="204"/>
        <scheme val="minor"/>
      </rPr>
      <t xml:space="preserve"> </t>
    </r>
    <r>
      <rPr>
        <sz val="9"/>
        <color theme="1"/>
        <rFont val="Calibri"/>
        <family val="2"/>
        <charset val="204"/>
        <scheme val="minor"/>
      </rPr>
      <t>пряности (куркума, имбирь, корица, цедра апельсина, бадьян, гвоздика, перец черный, кардамон), экстракт стевии</t>
    </r>
  </si>
  <si>
    <t>Итальянская</t>
  </si>
  <si>
    <t>Классическая итальянская смесь трав с ярким ароматом</t>
  </si>
  <si>
    <t xml:space="preserve">Специи (лук, чеснок, базилик, орегано, тимьян),  соль, </t>
  </si>
  <si>
    <t>Ароматная травяная смесь в итальянском стиле</t>
  </si>
  <si>
    <t>Лук, чеснок, базилик, орегано, тимьян.</t>
  </si>
  <si>
    <t>Сложная итальянская смесь трав с насыщенным букетом</t>
  </si>
  <si>
    <t>Лук, орегано, петрушка, мята, тимьян, базилик, чабер, шалфей, розмарин.</t>
  </si>
  <si>
    <t>Итальянская смесь с томатно-пряным профилем</t>
  </si>
  <si>
    <t>Орегано, базилик, томаты, чеснок, лук, паприка красная сладкая, розмарин, перец красный чили, кардамон, перец душистый.</t>
  </si>
  <si>
    <t>Кавказские травы</t>
  </si>
  <si>
    <t>Ароматная смесь кавказских трав с насыщенным вкусом</t>
  </si>
  <si>
    <t>специи и травы (кориандр, кинза, укроп, майоран, петрушка, базилик, орегано, чабер, мята), соль пищевая.</t>
  </si>
  <si>
    <t>Пряная смесь с характерным кавказским ароматом</t>
  </si>
  <si>
    <t>пряности (кориандр, чеснок, майоран, петрушка, куркума)</t>
  </si>
  <si>
    <t>Карри нежная</t>
  </si>
  <si>
    <t>Мягкая карри-смесь с тёплым пряным вкусом</t>
  </si>
  <si>
    <t>Кориандр, соль, куркума, горчичный порошок, корица, пажитник, тмин, имбирь корень, чеснок, перец черный, кумин.</t>
  </si>
  <si>
    <t>Нежная смесь карри с округлым ароматом специй</t>
  </si>
  <si>
    <t>Пряности (кориандр, пажитник, кумин, куркума, горчичный порошок, корица, тмин, чеснок, перец черный), соль, усилитель вкуса и аромата Е 621.</t>
  </si>
  <si>
    <t>Лёгкая карри-смесь с мягким пряным профилем</t>
  </si>
  <si>
    <t>Кориандр, куркума, горчичный порошок, корица, тмин, чеснок, перец черный.</t>
  </si>
  <si>
    <t>Сбалансированная карри-смесь без резкой остроты</t>
  </si>
  <si>
    <t>Пряности (кориандр, горчичный порошок, куркума, пажитник, корица, тмин, чеснок, перец черный), соль.</t>
  </si>
  <si>
    <t>Ароматная карри-смесь с тёплыми нотами</t>
  </si>
  <si>
    <t>Пряности (кориандр, куркума, горчичный порошок, пажитник, тмин, корица, чеснок), соль.</t>
  </si>
  <si>
    <t>Классическая нежная карри-смесь</t>
  </si>
  <si>
    <t>Кориандр, куркума, соль, горчичный порошок, пажитник, корица, тмин, чеснок, перец черный.</t>
  </si>
  <si>
    <t xml:space="preserve">Карри нежная </t>
  </si>
  <si>
    <t>Пряная смесь карри с насыщенным ароматом</t>
  </si>
  <si>
    <t>Куркума, кориандр молотый,  кумин, корица, имбирь,  пажитник, перец черный, кардамон, гвоздика, мускатный орех.</t>
  </si>
  <si>
    <t xml:space="preserve">Карри острая </t>
  </si>
  <si>
    <t>Острая карри-смесь с ярким пряным вкусом</t>
  </si>
  <si>
    <t>Кориандр, куркума, горчичный порошок, усилитель вкуса и аромата Е621, пажитник, корица, тмин, имбирь корень, перец красный чили, чеснок, перец черный, кумин.</t>
  </si>
  <si>
    <t>Интенсивная острая смесь карри</t>
  </si>
  <si>
    <t>Кориандр, горчичный порошок, соль, пажитник, куркума, перец красный чили, паприка красная сладкая, корица, тмин, имбирь корень, кумин, перец черный.</t>
  </si>
  <si>
    <t>Карри-смесь с выраженной остротой и ароматом</t>
  </si>
  <si>
    <t>Кориандр, пажитник, горчичный порошок, куркума, перец красный чили, паприка красная сладкая, корица, тмин, имбирь корень, кумин, перец черный.</t>
  </si>
  <si>
    <t>Кориандровая</t>
  </si>
  <si>
    <t>Пряная смесь с доминирующим кориандровым вкусом</t>
  </si>
  <si>
    <t>лук сушеный, перец черный, экстракт чеснока, кориандр, тмин, соль, имбирь</t>
  </si>
  <si>
    <t>Для картофеля</t>
  </si>
  <si>
    <t>Смесь специй для картофеля с травяными нотами</t>
  </si>
  <si>
    <t>Кориандр, перец черный молотый, чеснок, укроп, базилик, лук, перец красный чили, петрушка.</t>
  </si>
  <si>
    <t>Ароматная приправа для картофеля с мягким пряным вкусом</t>
  </si>
  <si>
    <t>Чеснок, укроп, лук, сельдерей, перец черный, мускатный орех.</t>
  </si>
  <si>
    <t xml:space="preserve">Для картофеля </t>
  </si>
  <si>
    <t>Классическая смесь специй для картофельных блюд</t>
  </si>
  <si>
    <t>Соль, пряности (куркума, перец черный молотый, чеснок, укроп, базилик, розмарин, перец красный молотый).</t>
  </si>
  <si>
    <t>Интенсивная приправа для картофеля с ярким вкусом</t>
  </si>
  <si>
    <t>Пряности (кориандр, чеснок, укроп, базилик, розмарин, перец черный, перец красный чили), соль, усилитель вкуса и аромата Е621.</t>
  </si>
  <si>
    <t>Для корейского салата (без соли)</t>
  </si>
  <si>
    <t>Пряная смесь для корейских салатов с острой нотой</t>
  </si>
  <si>
    <t>Кориандр, кунжутное семя, чеснок, петрушка, перец черный, куркума,  перец красный чили.</t>
  </si>
  <si>
    <t>Для корейских салатов</t>
  </si>
  <si>
    <t>Классическая приправа для корейских салатов</t>
  </si>
  <si>
    <t>Специи (кориандр, чеснок, перец красный чили), соль, усилитель вкуса и аромата Е621, сахар.</t>
  </si>
  <si>
    <t>Для салатов и овощей</t>
  </si>
  <si>
    <t>Семенная смесь для салатов и овощных блюд</t>
  </si>
  <si>
    <t>Лен, семя подсолнуха, кунжут черный, кунжут белый, семя тыквы.</t>
  </si>
  <si>
    <t>Для курицы</t>
  </si>
  <si>
    <t>Смесь специй для курицы с пряно-цитрусовым профилем</t>
  </si>
  <si>
    <t>Паприка красная сладкая, сумах, куркума, горчичный порошок, перец красный чили, сельдерей, имбирь, зелень укропа, чеснок .</t>
  </si>
  <si>
    <t xml:space="preserve">Для курицы </t>
  </si>
  <si>
    <t>Ароматная приправа для курицы с папричной нотой</t>
  </si>
  <si>
    <r>
      <t>Кориандр</t>
    </r>
    <r>
      <rPr>
        <b/>
        <sz val="9"/>
        <color theme="1"/>
        <rFont val="Calibri"/>
        <family val="2"/>
        <charset val="204"/>
        <scheme val="minor"/>
      </rPr>
      <t>,</t>
    </r>
    <r>
      <rPr>
        <sz val="9"/>
        <color theme="1"/>
        <rFont val="Calibri"/>
        <family val="2"/>
        <charset val="204"/>
        <scheme val="minor"/>
      </rPr>
      <t xml:space="preserve"> горчичный порошок,  паприка красная сладкая, чеснок, перец красный чили, пажитник, лук сушеный.</t>
    </r>
  </si>
  <si>
    <t>Классическая смесь для курицы с травяным вкусом</t>
  </si>
  <si>
    <t>Кориандр, чеснок, куркума, укроп, паприка красная, пажитник, майоран.</t>
  </si>
  <si>
    <t>Интенсивная смесь для курицы с пряно-острым характером</t>
  </si>
  <si>
    <t>Куркума, горчичный порошок, кориандр, чеснок, пажитник, перец черный, имбирь, перец красный чили), усилитель вкуса и аромата Е 621, сахар.</t>
  </si>
  <si>
    <t>Пряная смесь для курицы с насыщенным ароматом</t>
  </si>
  <si>
    <t>Специи (паприка красная, перец черный, майоран дробленый, кориандр, перец красный чили, куркума, розмарин, имбирь).</t>
  </si>
  <si>
    <t>Для курицы с солью</t>
  </si>
  <si>
    <t>Готовая приправа для курицы с ярким вкусом</t>
  </si>
  <si>
    <t>Специи (чеснок, перец красный чили, кориандр, паприка красная сладкая, горчичный порошок, куркума), соль, усилитель вкуса и аромата Е621, сахар.</t>
  </si>
  <si>
    <t xml:space="preserve">Лимонно-перечная </t>
  </si>
  <si>
    <t>Смесь перцев с освежающей лимонной нотой</t>
  </si>
  <si>
    <t>Специи (перец черный, перец белый, , перец зеленый сладкий, перец красный чили), соль, цедра лимона, антиокислители (Е 300, Е 330).</t>
  </si>
  <si>
    <t>Маринадная</t>
  </si>
  <si>
    <t>Пряная смесь для маринования с тёплым ароматом</t>
  </si>
  <si>
    <r>
      <t>Перец душистый, перец черный,</t>
    </r>
    <r>
      <rPr>
        <b/>
        <sz val="9"/>
        <color theme="1"/>
        <rFont val="Calibri"/>
        <family val="2"/>
        <charset val="204"/>
        <scheme val="minor"/>
      </rPr>
      <t xml:space="preserve"> </t>
    </r>
    <r>
      <rPr>
        <sz val="9"/>
        <color theme="1"/>
        <rFont val="Calibri"/>
        <family val="2"/>
        <charset val="204"/>
        <scheme val="minor"/>
      </rPr>
      <t>кориандр, мускатный орех, гвоздика, корица, имбирь.</t>
    </r>
  </si>
  <si>
    <t>Для моркови по-корейски</t>
  </si>
  <si>
    <t>Классическая приправа для моркови по-корейски</t>
  </si>
  <si>
    <t>Специи (кориандр, куркума, чеснок, перец черный, перец красный чили, перец красный сладкий), сахар.</t>
  </si>
  <si>
    <t xml:space="preserve">Для моркови по-корейски </t>
  </si>
  <si>
    <t>Пряная смесь с насыщенным острым вкусом</t>
  </si>
  <si>
    <t>пряности (кориандр, чеснок, перец черный, перец красный Чили, тмин, лавровый лист).</t>
  </si>
  <si>
    <t>Для моркови по-корейски (с солью)</t>
  </si>
  <si>
    <t>Готовая смесь для моркови по-корейски</t>
  </si>
  <si>
    <t>Специи (кориандр, куркума, чеснок, перец черный, перец красный чили), соль, усилитель вкуса и аромата Е621.</t>
  </si>
  <si>
    <t>Для мяса с ароматом копчения</t>
  </si>
  <si>
    <t>Смесь специй для мяса с копчёным ароматом</t>
  </si>
  <si>
    <t>Специи (перец красный чили, кориандр, чеснок, куркума, перец черный, паприка красная сладкая, сахар, пажитник, кунжут семя белое, перец душистый, петрушка), соль, краситель пищевой, ароматизатор Дым.</t>
  </si>
  <si>
    <t>Для мяса с солью</t>
  </si>
  <si>
    <t>Универсальная приправа для мясных блюд</t>
  </si>
  <si>
    <t>Соль, кориандр, лук, пажитник, перец красный чили, куркума.</t>
  </si>
  <si>
    <t>Для мяса</t>
  </si>
  <si>
    <t>Классическая смесь специй для мяса</t>
  </si>
  <si>
    <t>Кориандр, паприка красная сладкая, перец черный, чеснок, горчичное семя желтое, лук, горчичный порошок, мускатный орех, перец душистый.</t>
  </si>
  <si>
    <t>Для пельменей</t>
  </si>
  <si>
    <t>Ароматная приправа для пельменного фарша</t>
  </si>
  <si>
    <t>Кориандр, паприка красная сладкая, горчичный порошок, пажитник, перец черный, чеснок сушеный, лук сушеный, перец душистый.</t>
  </si>
  <si>
    <t xml:space="preserve">Перец чесночный </t>
  </si>
  <si>
    <t>Смесь специй с выраженным чесночным и перечным вкусом</t>
  </si>
  <si>
    <t>Специи (чеснок сушеный, кориандр, перец черный, сахар, перец душистый, перец красный чили, экстракт чеснока), соль.</t>
  </si>
  <si>
    <t xml:space="preserve">Для пиццы </t>
  </si>
  <si>
    <t>Итальянская приправа для пиццы с травяным ароматом</t>
  </si>
  <si>
    <t>Базилик, чеснок сушеный, лук сушеный, перец красный чили, тимьян, базилик, орегано.</t>
  </si>
  <si>
    <t xml:space="preserve">Для плова </t>
  </si>
  <si>
    <t>Классическая приправа для плова</t>
  </si>
  <si>
    <t>Кориандр, куркума, перец красный Чили, кумин, лавровый лист, лук сушеный, кунжут, барбарис черный, майоран, укроп.</t>
  </si>
  <si>
    <t>Пряная смесь для плова с насыщенным вкусом</t>
  </si>
  <si>
    <t>Кориандр, куркума, перец красный чили, петрушка, перец черный, чеснок, барбарис черный, кумин.</t>
  </si>
  <si>
    <t>Для плова</t>
  </si>
  <si>
    <t>Ароматная смесь для плова с глубоким букетом</t>
  </si>
  <si>
    <t>Паприка красная сладкая, куркума, моркровь сушеная, чеснок, лук, кориандр, барбарис черный, перец черный, перец душистый, кумин, лавровый лист.</t>
  </si>
  <si>
    <t>Готовая приправа для плова</t>
  </si>
  <si>
    <t>Специи (кориандр, перец красный чили, кунжут, перец черный, куркума, лук, барбарис черный, лавровый лист, кумин семя), соль.</t>
  </si>
  <si>
    <t>Прованские травы</t>
  </si>
  <si>
    <t>Классическая смесь прованских трав</t>
  </si>
  <si>
    <t>Тимьян, чабер, базилик, майоран, мята, орегано, шалфей, розмарин.</t>
  </si>
  <si>
    <t xml:space="preserve">Прованские травы </t>
  </si>
  <si>
    <t>Ароматная травяная смесь в прованском стиле</t>
  </si>
  <si>
    <t>Базилик, петрушка зелень, мята, майоран, орегано, чабер, розмарин.</t>
  </si>
  <si>
    <t>Универсальная смесь трав</t>
  </si>
  <si>
    <t>Петрушка, майоран, мята, базилик, орегано, розмарин.</t>
  </si>
  <si>
    <t>Травяная смесь с насыщенным ароматом</t>
  </si>
  <si>
    <t>Петрушка, майоран, мята, базилик, орегано, розмарин, чабер.</t>
  </si>
  <si>
    <t>Для рыбы</t>
  </si>
  <si>
    <t>Пряная смесь для рыбных блюд</t>
  </si>
  <si>
    <t>Кориандр, лук, пажитник, куркума, перец черный, горчичное семя желтое, цедра лимона, укроп, морковь, базилик, лавровый лист.</t>
  </si>
  <si>
    <t xml:space="preserve">Для рыбы </t>
  </si>
  <si>
    <t>Ароматная приправа для рыбы с цитрусовыми нотами</t>
  </si>
  <si>
    <t>Кунжут, орегано, кориандр, перец белый, пажитник, цедра лимона, лук, горчичное семя желтое, цедра апельсина, лук-порей.</t>
  </si>
  <si>
    <t>Для рыбы с солью</t>
  </si>
  <si>
    <t>Готовая приправа для рыбы</t>
  </si>
  <si>
    <t>Кориандр, чеснок, мускатный орех, базилик, петрушка, тимьян, соль.</t>
  </si>
  <si>
    <t>Для свинины</t>
  </si>
  <si>
    <t>Смесь специй для свинины с насыщенным вкусом</t>
  </si>
  <si>
    <t>Кориандр, петрушка, лук, базилик, паприка красная сладкая, куркума, перец черный, чеснок, перец душистый, перец красный чили.</t>
  </si>
  <si>
    <t>Для свинины с солью</t>
  </si>
  <si>
    <t>Готовая приправа для свинины</t>
  </si>
  <si>
    <t>Перец черный, кориандр, чеснок, базилик, тимьян, кумин семя, фенхель семя, соль.</t>
  </si>
  <si>
    <t>Пряная смесь для свинины с ярким ароматом</t>
  </si>
  <si>
    <t xml:space="preserve">Специи (кориандр, чеснок, лук, перец красный чили, кунжут, горчичное семя желтое, перец душистый, мускатный орех, лавровый лист, укроп, базилик), соль, сахар, усилитель вкуса и аромата Е 621.  </t>
  </si>
  <si>
    <t>Ароматная приправа для свинины</t>
  </si>
  <si>
    <t xml:space="preserve">Специи (паприка красная сладкая, кориандр, чеснок, лук, перец красный чили, горчичное семя желтое, мускатный орех, базилик, укроп, лавровый лист), соль, сахар, усилитель вкуса и аромата Е 621.  </t>
  </si>
  <si>
    <t>Интенсивная смесь специй для свинины</t>
  </si>
  <si>
    <t>Специи (кориандр, лук, чеснок, перец красный чили, кунжут, горчичное семя желтое, перец душистый, мускатный орех, лавровый лист, укроп, базилик), усилитель вкуса и аромата Е 621, сахар.</t>
  </si>
  <si>
    <t xml:space="preserve">Универсальная с солью </t>
  </si>
  <si>
    <t>Универсальная приправа для повседневных блюд</t>
  </si>
  <si>
    <t>Соль, сахар, усилитель вкуса и аромата Е 621, морковь, мальтодекстрин, куркума, петрушка, лук.</t>
  </si>
  <si>
    <t xml:space="preserve">Универсальная </t>
  </si>
  <si>
    <t>Универсальная смесь специй</t>
  </si>
  <si>
    <t>Куркума, горчичное семя белое, лук, перец черный, крахмал кукурузный, петрушка, морковь, чеснок, паприка красная сладкая.</t>
  </si>
  <si>
    <t>Универсальная с солью</t>
  </si>
  <si>
    <t>Простая универсальная приправа</t>
  </si>
  <si>
    <t>Специи (морковь, куркума, петрушка), соль.</t>
  </si>
  <si>
    <t>Универсальная овощная приправа</t>
  </si>
  <si>
    <t>Соль, мальтодекстрин, морковь сушеная, крахмал кукурузный, петрушка, куркума, лук сушеный.</t>
  </si>
  <si>
    <t>Классическая универсальная смесь</t>
  </si>
  <si>
    <t>Соль, морковь, куркума, петрушка.</t>
  </si>
  <si>
    <t>Универсальная приправа с мягким вкусом</t>
  </si>
  <si>
    <t>Уцхо Сунели</t>
  </si>
  <si>
    <t>Классическая грузинская смесь специй</t>
  </si>
  <si>
    <t>Кориандр, пажитник, куркума, лавровый лист, перец красный чили.</t>
  </si>
  <si>
    <t>Ароматная приправа с орехово-пряным профилем</t>
  </si>
  <si>
    <t>Пажитник, кориандр.</t>
  </si>
  <si>
    <t xml:space="preserve">Для фарша </t>
  </si>
  <si>
    <t>Смесь специй для мясного фарша</t>
  </si>
  <si>
    <t>Специи (лук, кориандр, чеснок, имбирь, мускатный орех, перец черный, перец красный чили, базилик, розмарин, майоран, петрушка), усилитель вкуса и аромата Е 621, сахар.</t>
  </si>
  <si>
    <t>Для фарша</t>
  </si>
  <si>
    <t>Овощно-пряная смесь для фарша</t>
  </si>
  <si>
    <t>Томаты сушеные хлопья, перец красный сладкий, перец черный, морковь, лук, перец красный чили, чеснок сушеный, перец зеленый сладкий, сельдерей, орегано, петрушка.</t>
  </si>
  <si>
    <t>Для фарша с солью</t>
  </si>
  <si>
    <t>Готовая приправа для фарша</t>
  </si>
  <si>
    <t>Специи (лук, перец черный, чеснок, кориандр, имбирь, перец красный чили, мускатный орех, базилик, петрушка, розмарин, майоран), соль, усилитель вкуса и аромата Е 621.</t>
  </si>
  <si>
    <t xml:space="preserve">Хмели-сунели </t>
  </si>
  <si>
    <t>Кориандр, пажитник, перец красный чили, куркума.</t>
  </si>
  <si>
    <t>Хмели-сунели</t>
  </si>
  <si>
    <t>Ароматная приправа хмели-сунели</t>
  </si>
  <si>
    <t>Кориандр, куркума, лавровый лист, укроп, пажитник, перец красный чили.</t>
  </si>
  <si>
    <t>Пряная смесь в грузинском стиле</t>
  </si>
  <si>
    <t>Универсальная кавказская приправа</t>
  </si>
  <si>
    <t>Кориандр, укроп, перец красный чили, пажитник, куркума.</t>
  </si>
  <si>
    <t>Для шаурмы</t>
  </si>
  <si>
    <t>Пряная смесь для шаурмы с восточным характером</t>
  </si>
  <si>
    <t>Кориандр, орегано, кумин, перец красный чили, перец черный, лавровый лист, корица, кумин семя, паприка красная сладкая, тмин.</t>
  </si>
  <si>
    <t>Ароматная приправа для шаурмы</t>
  </si>
  <si>
    <t>Паприка красная сладкая, кумин, кориандр, чеснок, перец красный чили, гвоздика, имбирь, мускатный орех.</t>
  </si>
  <si>
    <t>Интенсивная смесь специй для шаурмы</t>
  </si>
  <si>
    <t>Паприка красная сладкая, куркума, пажитник, имбирь, тмин, горчичный порошок, сахар, усилитель вкуса и аромата Е621, кориандр, перец душистый перец черный, чеснок.</t>
  </si>
  <si>
    <t>Яркая восточная смесь для шаурмы</t>
  </si>
  <si>
    <t>Перец красный чили, паприка сладкая красная, пажитник, перец черный, чеснок, орегано, мускатный орех, кориандр, имбирь, куркума, горчичный порошок, корица, тмин.</t>
  </si>
  <si>
    <t xml:space="preserve">Для шашлыка с солью </t>
  </si>
  <si>
    <t>Готовая приправа для шашлыка</t>
  </si>
  <si>
    <t>Пряности (горчичное семя желтое, лук, кориандр, перец душистый, лавровый лист, гвоздика, перец черный), соль, сахар, усилитель вкуса и аромата Е 621, ацетат натрия, аскорбиновая кислота.</t>
  </si>
  <si>
    <t xml:space="preserve">Для шашлыка </t>
  </si>
  <si>
    <t>Классическая приправа для шашлыка</t>
  </si>
  <si>
    <t>Кориандр, паприка сладкая красная, горчичный порошок, перец черный,  куркума, мускатный орех, кумин, базилик, розмарин, лавровый лист.</t>
  </si>
  <si>
    <t>Для шашлыка</t>
  </si>
  <si>
    <t>Ароматная смесь специй для шашлыка</t>
  </si>
  <si>
    <t>Горчичное семя желтое, базилик, пажитник, перец красный чили, куркума, кориандр, кумин, сумах, чабер, майоран, мускатный орех.</t>
  </si>
  <si>
    <t>Приправа для шашлыка с насыщенным вкусом</t>
  </si>
  <si>
    <t>Пряности (горчичное семя желтое, лук, плоды можжевельника, перец душистый, лавровый лист, гвоздика, перец черный), соль, сахар, усилитель вкуса и аромата Е 621, ацетат натрия, аскорбиновая кислота.</t>
  </si>
  <si>
    <t>Классическая готовая смесь для шашлыка</t>
  </si>
  <si>
    <t xml:space="preserve">Пряности (кориандр, паприка красная сладкая,  горчичный порошок, куркума, перец черный, базилик, розмарин, лавровый лист), соль. </t>
  </si>
  <si>
    <t>Чесночная приправа</t>
  </si>
  <si>
    <t>Смесь с выраженным чесночным ароматом</t>
  </si>
  <si>
    <t>Чеснок, петрушка.</t>
  </si>
  <si>
    <t>Ароматная чесночная смесь</t>
  </si>
  <si>
    <t>Готовая приправа с чесночным вкусом</t>
  </si>
  <si>
    <t>Специи (петрушка, чеснок), соль.</t>
  </si>
  <si>
    <t>Смесь трех перцев горошком</t>
  </si>
  <si>
    <t>Классическая смесь перцев горошком</t>
  </si>
  <si>
    <t>Перец черный горошек, перец белый горошек, перец розовый горошек</t>
  </si>
  <si>
    <t>Смесь трех перцев</t>
  </si>
  <si>
    <t>Смесь молотых перцев с ярким вкусом</t>
  </si>
  <si>
    <t>Перец черный молотый, перец белый  молотый, перец розовый молотый</t>
  </si>
  <si>
    <t>Пряная смесь перцев с острой нотой</t>
  </si>
  <si>
    <t>Перец черный молотый, перец душистый молотый, перец красный Чили молотый</t>
  </si>
  <si>
    <t>Смесь пяти перцев дробленная, в/с</t>
  </si>
  <si>
    <t>Дроблёная смесь пяти перцев</t>
  </si>
  <si>
    <t>Перец черный, перец розовый, перец зеленый, перец белый, перец душистый.</t>
  </si>
  <si>
    <t>Смесь пяти перцев дробленная, 1с</t>
  </si>
  <si>
    <t>Смесь дроблёных перцев горошком</t>
  </si>
  <si>
    <t>Перец черный горошек, перец душистый горошек, перец белый горошек, перец розовый горошек, перец зеленый горошек.</t>
  </si>
  <si>
    <t>Смесь пяти перцев горошком, в/с</t>
  </si>
  <si>
    <t>Смесь пяти перцев горошком, 1с</t>
  </si>
  <si>
    <t>Ароматная смесь перцев горошком</t>
  </si>
  <si>
    <t>Смесь пяти перцев</t>
  </si>
  <si>
    <t>Универсальная смесь перцев</t>
  </si>
  <si>
    <t>Перец черный горошек, перец белый горошек, перец розовый горошек, перец зеленый горошек, перец душистый.</t>
  </si>
  <si>
    <t>Смесь 4-х перцев горошком (без душистого), в/с</t>
  </si>
  <si>
    <t>Смесь перцев горошком без душистого</t>
  </si>
  <si>
    <t>Перец черный горошек, перец белый горошек, перец розовый горошек, перец зеленый горошек.</t>
  </si>
  <si>
    <t>Смесь 4-х перцев горошком (без зеленого)</t>
  </si>
  <si>
    <t>Смесь перцев с насыщенным ароматом</t>
  </si>
  <si>
    <t>Перец черный горошек, перец белый горошек, перец душистый горошек, перец розовый горошек.</t>
  </si>
  <si>
    <t>Смесь 4-х перцев горошком (без белого)</t>
  </si>
  <si>
    <t>Смесь перцев с ярким вкусом</t>
  </si>
  <si>
    <t>Перец черный горошек, перец душистый горошек, перец зеленый горошек, перец розовый горошек.</t>
  </si>
  <si>
    <t>Смесь 4-х перцев дробленая 1с</t>
  </si>
  <si>
    <t>Дроблёная смесь четырёх перцев</t>
  </si>
  <si>
    <t>Перец черный, перец белый, перец зеленый, перец розовый.</t>
  </si>
  <si>
    <t>Смесь 4-х перцев дробленая в/с</t>
  </si>
  <si>
    <t>Ароматная дроблёная смесь перцев</t>
  </si>
  <si>
    <t>Смесь 4-х перцев дробленая (без белого)</t>
  </si>
  <si>
    <t>Пряная дроблёная смесь перцев</t>
  </si>
  <si>
    <t>Перец черный, перец душистый, перец зеленый, перец розовый.</t>
  </si>
  <si>
    <t xml:space="preserve">Жемчужная      </t>
  </si>
  <si>
    <t>Пряная смесь с ярким хреново-чесночным вкусом</t>
  </si>
  <si>
    <t>Хрен, чеснок, экстракт кориандра, экстракт перца красного чили, экстракт мускатного ореха.</t>
  </si>
  <si>
    <t>Пряная смесь с выраженным кориандровым ароматом</t>
  </si>
  <si>
    <t>Лук сушеный, перец черный, экстракт чеснока, кориандр, тмин, соль, имбирь.</t>
  </si>
  <si>
    <t xml:space="preserve">Оранжевая  </t>
  </si>
  <si>
    <t>Яркая смесь специй с папрично-острым вкусом</t>
  </si>
  <si>
    <t>Паприка красная сладкая, чеснок, перец красный чили.</t>
  </si>
  <si>
    <t>5 овощей и трав</t>
  </si>
  <si>
    <t>Овощная смесь для супов и гарниров</t>
  </si>
  <si>
    <t>Морковь сушеная, капуста сушеная, лук сушеный, перец красный сладкий, перец зеленый сладкий.</t>
  </si>
  <si>
    <t>Для борща</t>
  </si>
  <si>
    <t>Овощно-пряная смесь для борща</t>
  </si>
  <si>
    <t>Морковь сушеная, перец черный, лук сушеный, свекла сушеная, петрушка, усилитель вкуса и аромата Е 621, укроп, корень пастернака, чеснок.</t>
  </si>
  <si>
    <t>Гарам Масала молотая</t>
  </si>
  <si>
    <t>Классическая индийская смесь специй</t>
  </si>
  <si>
    <t>Корица, кориандр, пажитник, имбирь, мускатный орех, кардамон, бадьян, перец черный, гвоздика, перец красный чили.</t>
  </si>
  <si>
    <t xml:space="preserve">Гарам Масала </t>
  </si>
  <si>
    <t>Ароматная смесь специй в индийском стиле</t>
  </si>
  <si>
    <t>Суповая с овощами</t>
  </si>
  <si>
    <t>Овощная смесь для супов</t>
  </si>
  <si>
    <t>Морковь сушеная, лук сушеный, укроп, петрушка, лук-порей, сельдерей, чеснок, перец черный.</t>
  </si>
  <si>
    <t>Ароматная овощная смесь</t>
  </si>
  <si>
    <t>Морковь сушеная, лук сушеный, перец черный, петрушка, корень пастернака, лук-порей, сельдерей, укроп, чеснок.</t>
  </si>
  <si>
    <t>Для завтраков</t>
  </si>
  <si>
    <t>Семенная смесь для завтраков</t>
  </si>
  <si>
    <t>Семена подсолнуха очищенные, тыквенные семечки, лен бурый, кунжут белый.</t>
  </si>
  <si>
    <t>Смесь семян и злаков</t>
  </si>
  <si>
    <t>Лен бурый, лен белый, семечки подсолнуха очищенные, кунжут белый, семена чиа, кунжут черный.</t>
  </si>
  <si>
    <t>Лёгкая семенная смесь</t>
  </si>
  <si>
    <t>Лен бурый, кунжут белый, семена чиа.</t>
  </si>
  <si>
    <t>Фруктово-семенная смесь</t>
  </si>
  <si>
    <t>Яблоки кубиками, ананас кубиками, тыквенные семечки, семена подсолнуха очищенные, лен бурый.</t>
  </si>
  <si>
    <t>Орехово-семенная смесь</t>
  </si>
  <si>
    <t>Арахис сырой, кешью сырой, миндаль лепестки, тыквенные семечки, семена подсолнуха очищенные, изюм, ягоды Годжи.</t>
  </si>
  <si>
    <t xml:space="preserve">Перец черный молотый в/с </t>
  </si>
  <si>
    <t>Чёрный перец с лёгкой копчёной нотой</t>
  </si>
  <si>
    <t>Перец черный молотый, ароматизатор коптильный</t>
  </si>
  <si>
    <t>Перец черный молотый 3с</t>
  </si>
  <si>
    <t>Молотый чёрный перец с копчёным ароматом</t>
  </si>
  <si>
    <t>Перец черный дробленый 1с</t>
  </si>
  <si>
    <t>Дроблёный чёрный перец с копчёной нотой</t>
  </si>
  <si>
    <t>Перец черный дробленый, ароматизатор коптильный</t>
  </si>
  <si>
    <t>Молотые/дроблёные</t>
  </si>
  <si>
    <t>Молотые пряности-плоды и семена</t>
  </si>
  <si>
    <t>Бадьян молотый</t>
  </si>
  <si>
    <t>Тонко молотый бадьян с выраженным сладковато-анисовым ароматом</t>
  </si>
  <si>
    <t>Бадьян</t>
  </si>
  <si>
    <t>специи применяются в пищевой промышленности для формирования вкуса, аромата и визуального профиля готовой продукции.</t>
  </si>
  <si>
    <t>Пак. В. 250*400 - 1 кг
Пак. В. 400*600 - 3 кг
Бум. М. 58*40*13 - 5 кг
Бум. Б. 92*50*13 - 15 кг</t>
  </si>
  <si>
    <t>Бадьян дробленый</t>
  </si>
  <si>
    <t>Дроблёный бадьян с насыщенным пряно-анисовым вкусом</t>
  </si>
  <si>
    <t>Гвоздика дробленая</t>
  </si>
  <si>
    <t>Дроблёная гвоздика с ярким пряным и слегка жгучим ароматом</t>
  </si>
  <si>
    <t>Гвоздика</t>
  </si>
  <si>
    <t>Гвоздика молотая Экстра</t>
  </si>
  <si>
    <t>Тонко молотая гвоздика с высокой ароматической насыщенностью</t>
  </si>
  <si>
    <t>Гвоздика молотая, в/с</t>
  </si>
  <si>
    <t>Молотая гвоздика с классическим насыщенным пряным вкусом</t>
  </si>
  <si>
    <t>Гвоздика молотая, 1с</t>
  </si>
  <si>
    <t>Молотая гвоздика со сбалансированным ароматом</t>
  </si>
  <si>
    <t>Гвоздика молотая, 2с</t>
  </si>
  <si>
    <t>Молотая гвоздика с мягким пряным профилем</t>
  </si>
  <si>
    <t>Гвоздика молотая, 3с</t>
  </si>
  <si>
    <t>Молотая гвоздика с умеренной ароматической интенсивностью</t>
  </si>
  <si>
    <t>Горчичный порошок 1с</t>
  </si>
  <si>
    <t>Молотые семена горчицы с ярким острым вкусом</t>
  </si>
  <si>
    <t>Горчица</t>
  </si>
  <si>
    <t>Горчичный порошок, 2с</t>
  </si>
  <si>
    <t>Молотая горчица со средней остротой</t>
  </si>
  <si>
    <t>Горчичный порошок, 3с</t>
  </si>
  <si>
    <t>Молотая горчица с мягким, деликатным вкусом</t>
  </si>
  <si>
    <t>Молотые коренья и клубни</t>
  </si>
  <si>
    <t>Имбирь молотый, в/с</t>
  </si>
  <si>
    <t>Тонко молотый сушёный корень имбиря с выраженным пряно-жгучим вкусом</t>
  </si>
  <si>
    <t>100% сушёный корень имбиря, молотый.</t>
  </si>
  <si>
    <t>Имбирь молотый, 1с</t>
  </si>
  <si>
    <t>Молотый имбирь с ярким, но сбалансированным пряным профилем</t>
  </si>
  <si>
    <t>Имбирь молотый, 2с</t>
  </si>
  <si>
    <t>Молотый имбирь с умеренной остротой и тёплым ароматом</t>
  </si>
  <si>
    <t>Имбирь молотый, 3с</t>
  </si>
  <si>
    <t>Молотый имбирь с мягким пряным вкусом</t>
  </si>
  <si>
    <t>Имбирь молотый, суперэконом</t>
  </si>
  <si>
    <t>Молотый имбирь с лёгким пряным ароматом</t>
  </si>
  <si>
    <t>Кардамон молотый, экстра</t>
  </si>
  <si>
    <t>Тонко молотый кардамон с интенсивным пряно-цитрусовым ароматом</t>
  </si>
  <si>
    <t>Кардамон</t>
  </si>
  <si>
    <t>Молотые prяности-плоды и семена</t>
  </si>
  <si>
    <t>Кардамон молотый, в/с</t>
  </si>
  <si>
    <t>Молотый кардамон с чистым классическим ароматом</t>
  </si>
  <si>
    <t>Кардамон молотый, 1с</t>
  </si>
  <si>
    <t>Молотый кардамон со сбалансированным вкусом</t>
  </si>
  <si>
    <t>Кардамон молотый, 2с</t>
  </si>
  <si>
    <t>Молотый кардамон с мягким пряным профилем</t>
  </si>
  <si>
    <t>Кардамон молотый, 3с</t>
  </si>
  <si>
    <t>Молотый кардамон с умеренной ароматической интенсивностью</t>
  </si>
  <si>
    <t>Кориандр молотый,в/с</t>
  </si>
  <si>
    <t>Молотые семена кориандра с пряным вкусом и лёгкой цитрусовой нотой</t>
  </si>
  <si>
    <t>Кориандр</t>
  </si>
  <si>
    <t>Кориандр молотый, 1с</t>
  </si>
  <si>
    <t>Молотый кориандр с классическим пряным ароматом</t>
  </si>
  <si>
    <t>Кориандр молотый</t>
  </si>
  <si>
    <t>Молотый кориандр с мягким сбалансированным вкусом</t>
  </si>
  <si>
    <t>Корица молотая, 1с</t>
  </si>
  <si>
    <t>Молотая корица с тёплым сладковато-пряным вкусом</t>
  </si>
  <si>
    <t>Корица</t>
  </si>
  <si>
    <t>Корица молотая</t>
  </si>
  <si>
    <t>Молотая корица с классическим коричным ароматом</t>
  </si>
  <si>
    <t>Корица молотая Супер</t>
  </si>
  <si>
    <t>Молотая корица с усиленным ароматом и вкусом</t>
  </si>
  <si>
    <t>Кумин молотый, Экстра магазин, 15%</t>
  </si>
  <si>
    <t>Тонко молотый кумин (зира) с ярким восточным ароматом</t>
  </si>
  <si>
    <t>Кумин</t>
  </si>
  <si>
    <t>Кумин молотый, в/с</t>
  </si>
  <si>
    <t>Молотый кумин с насыщенным характерным вкусом</t>
  </si>
  <si>
    <t>Кумин молотый, 1с</t>
  </si>
  <si>
    <t>Молотый кумин со сбалансированным пряным профилем</t>
  </si>
  <si>
    <t>Кумин молотый, 2с</t>
  </si>
  <si>
    <t>Молотый кумин с мягким ароматом</t>
  </si>
  <si>
    <t>Кумин молотый,  3с</t>
  </si>
  <si>
    <t>Молотый кумин с умеренной интенсивностью</t>
  </si>
  <si>
    <t>Кумин молотый</t>
  </si>
  <si>
    <t>Молотый кумин со стабильным пряным ароматом</t>
  </si>
  <si>
    <t>Куркума молотая, 1с</t>
  </si>
  <si>
    <t>Молотая куркума с ярким цветом и характерным пряным вкусом</t>
  </si>
  <si>
    <t>Куркума</t>
  </si>
  <si>
    <t>Куркума молотаяя</t>
  </si>
  <si>
    <t>Молотая куркума со стабильным ароматом и цветом</t>
  </si>
  <si>
    <t>Куркума молотая  в/с</t>
  </si>
  <si>
    <t>Молотая куркума с усиленным цветовым и вкусовым профилем</t>
  </si>
  <si>
    <t>Лавровый лист молотый, в/с</t>
  </si>
  <si>
    <t>Тонко молотый лавровый лист с классическим пряным ароматом</t>
  </si>
  <si>
    <t>Лавровый лист</t>
  </si>
  <si>
    <t>Лавровый лист молотый, 1с</t>
  </si>
  <si>
    <t>Молотый лавровый лист с мягким ароматом</t>
  </si>
  <si>
    <t>Лавровый лист молотый, 2с</t>
  </si>
  <si>
    <t>Молотый лавровый лист с умеренной интенсивностью</t>
  </si>
  <si>
    <t>Лук молотый</t>
  </si>
  <si>
    <t>Сушёный молотый лук с натуральным луковым вкусом</t>
  </si>
  <si>
    <t>Лук</t>
  </si>
  <si>
    <t>Мускатный орех молотый Экстра</t>
  </si>
  <si>
    <t>Тонко молотый мускатный орех с интенсивным тёплым ароматом</t>
  </si>
  <si>
    <t>Мускатный орех</t>
  </si>
  <si>
    <t>Мускатный орех молотый, в/с</t>
  </si>
  <si>
    <t>Молотый мускатный орех с классическим пряным вкусом</t>
  </si>
  <si>
    <t>Мускатный орех молотый, 1с</t>
  </si>
  <si>
    <t>Молотый мускатный орех со сбалансированным ароматом</t>
  </si>
  <si>
    <t>Мускатный орех молотый, 2с</t>
  </si>
  <si>
    <t>Молотый мускатный орех с мягким пряным профилем</t>
  </si>
  <si>
    <t>Паприка копченая</t>
  </si>
  <si>
    <t>Молотая паприка с мягким сладким вкусом и копчёной нотой</t>
  </si>
  <si>
    <t>Паприка копчёная</t>
  </si>
  <si>
    <t>Перец белый молотый, в/с</t>
  </si>
  <si>
    <t>Тонко молотый белый перец с мягкой перечной остротой</t>
  </si>
  <si>
    <t>Перец белый</t>
  </si>
  <si>
    <t>Перец белый молотый, 1с</t>
  </si>
  <si>
    <t>Молотый белый перец с чистым классическим вкусом</t>
  </si>
  <si>
    <t>Перец белый молотый, 2с</t>
  </si>
  <si>
    <t>Молотый белый перец с умеренной остротой</t>
  </si>
  <si>
    <t>Перец белый молотый, в/с Плюс</t>
  </si>
  <si>
    <t>Молотый белый перец с усиленным ароматом</t>
  </si>
  <si>
    <t>Перец белый молотый, 1с Плюс</t>
  </si>
  <si>
    <t>Молотый белый перец с ярким перечным профилем</t>
  </si>
  <si>
    <t>Перец душистый молотый, в/с</t>
  </si>
  <si>
    <t>Молотый душистый перец с пряным ароматом и гвоздичными нотами</t>
  </si>
  <si>
    <t>Перец душистый</t>
  </si>
  <si>
    <t>Перец душистый молотый, 1с</t>
  </si>
  <si>
    <t>Молотый душистый перец со сбалансированным вкусом</t>
  </si>
  <si>
    <t>Перец душистый молотый, 2с</t>
  </si>
  <si>
    <t>Молотый душистый перец с мягким ароматом</t>
  </si>
  <si>
    <t>Молотый душистый перец со стабильным вкусом</t>
  </si>
  <si>
    <t>Перец душистый молотый</t>
  </si>
  <si>
    <t>Молотый душистый перец с умеренной интенсивностью</t>
  </si>
  <si>
    <t>Перец душистый молотый, 3с</t>
  </si>
  <si>
    <t>Молотый душистый перец с лёгким пряным профилем</t>
  </si>
  <si>
    <t>Перец сычуанский дробленый</t>
  </si>
  <si>
    <t>Дроблёный сычуанский перец с характерной цитрусовой пряностью</t>
  </si>
  <si>
    <t>Перец сычуанский</t>
  </si>
  <si>
    <t>Перец черный дробленный, в/с</t>
  </si>
  <si>
    <t>Дроблёный чёрный перец с ярким перечным вкусом</t>
  </si>
  <si>
    <t>Перец чёрный</t>
  </si>
  <si>
    <t>Перец черный дробленный, 1с</t>
  </si>
  <si>
    <t>Дроблёный чёрный перец с насыщенным ароматом</t>
  </si>
  <si>
    <t>Перец черный дробленый, 2с</t>
  </si>
  <si>
    <t>Дроблёный чёрный перец с умеренной остротой</t>
  </si>
  <si>
    <t>Перец черный дробленый, 3с</t>
  </si>
  <si>
    <t>Дроблёный чёрный перец с мягким вкусом</t>
  </si>
  <si>
    <t>Перец черный молотый Экстра</t>
  </si>
  <si>
    <t>Тонко молотый чёрный перец с интенсивной остротой</t>
  </si>
  <si>
    <t>Перец черный молотый, в/с</t>
  </si>
  <si>
    <t>Молотый чёрный перец с классическим вкусом</t>
  </si>
  <si>
    <t>Перец черный молотый, 1с</t>
  </si>
  <si>
    <t>Молотый чёрный перец со сбалансированной остротой</t>
  </si>
  <si>
    <t>Перец черный молотый, 2с</t>
  </si>
  <si>
    <t>Молотый чёрный перец с умеренным ароматом</t>
  </si>
  <si>
    <t>Перец черный молотый, 3с</t>
  </si>
  <si>
    <t>Молотый чёрный перец с мягким профилем</t>
  </si>
  <si>
    <t>Перец черный молотый, 3с Плюс</t>
  </si>
  <si>
    <t>Молотый чёрный перец с усиленным ароматом</t>
  </si>
  <si>
    <t>Перец черный молотый, (3с копчёный)</t>
  </si>
  <si>
    <t>Молотый чёрный перец с копчёной нотой</t>
  </si>
  <si>
    <t>Перец черный молотый, 4с</t>
  </si>
  <si>
    <t>Молотый чёрный перец с лёгкой остротой</t>
  </si>
  <si>
    <t>Перец черный молотый, 5с</t>
  </si>
  <si>
    <t>Молотый чёрный перец с мягким вкусом</t>
  </si>
  <si>
    <t>Молотый чёрный перец со стабильным профилем</t>
  </si>
  <si>
    <t>Перец красный чили молотый, 1с</t>
  </si>
  <si>
    <t>Молотый красный чили с яркой жгучей остротой</t>
  </si>
  <si>
    <t>Перец чили</t>
  </si>
  <si>
    <t>Перец красный чили молотый, 2с</t>
  </si>
  <si>
    <t>Молотый красный чили с умеренной остротой</t>
  </si>
  <si>
    <t>Перец красный чили молотый, в/с</t>
  </si>
  <si>
    <t>Молотый красный чили с насыщенным вкусом</t>
  </si>
  <si>
    <t>Молотый красный чили со сбалансированной остротой</t>
  </si>
  <si>
    <t xml:space="preserve">Перец красный чили молотый, </t>
  </si>
  <si>
    <t>Молотый красный чили с чистым острым вкусом</t>
  </si>
  <si>
    <t>Тмин молотый, в/с</t>
  </si>
  <si>
    <t>Молотый тмин с ярким характерным ароматом</t>
  </si>
  <si>
    <t>Тмин</t>
  </si>
  <si>
    <t>Тмин молотый, 1с</t>
  </si>
  <si>
    <t>Молотый тмин со сбалансированным вкусом</t>
  </si>
  <si>
    <t>Тмин молотый, 2с</t>
  </si>
  <si>
    <t>Молотый тмин с мягким ароматом</t>
  </si>
  <si>
    <t>Тмин молотый</t>
  </si>
  <si>
    <t>Молотый тмин с умеренной интенсивностью</t>
  </si>
  <si>
    <t xml:space="preserve">Тмин молотый, 3c </t>
  </si>
  <si>
    <t>Молотый тмин с лёгким пряным профилем</t>
  </si>
  <si>
    <t>Томаты молотые (Spray-dried)</t>
  </si>
  <si>
    <t>Сушёные молотые томаты с насыщенным томатным вкусом</t>
  </si>
  <si>
    <t>Томаты</t>
  </si>
  <si>
    <t xml:space="preserve">Укроп семя молотый в/с </t>
  </si>
  <si>
    <t>Молотые семена укропа с выраженным пряным ароматом</t>
  </si>
  <si>
    <t>Семена укропа</t>
  </si>
  <si>
    <t>Укроп семя молотый экстра</t>
  </si>
  <si>
    <t>Тонко молотые семена укропа с усиленным ароматом</t>
  </si>
  <si>
    <t>Укроп семя молотый, в/с</t>
  </si>
  <si>
    <t>Молотые семена укропа с классическим вкусом</t>
  </si>
  <si>
    <t>Укроп семя молотый, 1с</t>
  </si>
  <si>
    <t>Молотые семена укропа со сбалансированным ароматом</t>
  </si>
  <si>
    <t>Укроп семя молотый</t>
  </si>
  <si>
    <t>Молотые семена укропа с мягким профилем</t>
  </si>
  <si>
    <t>Фенхель дробленый</t>
  </si>
  <si>
    <t>Дроблёный фенхель со сладковато-анисовым вкусом</t>
  </si>
  <si>
    <t>Фенхель</t>
  </si>
  <si>
    <t>Хрен молотый</t>
  </si>
  <si>
    <t>Яркий острый вкус молотого хрена</t>
  </si>
  <si>
    <t>Хрен</t>
  </si>
  <si>
    <t>Чеснок 40*60</t>
  </si>
  <si>
    <t>Сушёный чеснок крупной фракции 40×60 с выраженным чесночным ароматом</t>
  </si>
  <si>
    <t xml:space="preserve">100% чеснок сушёный, гранулированный </t>
  </si>
  <si>
    <t xml:space="preserve">Чеснок 40*60 </t>
  </si>
  <si>
    <t>Сушёный чеснок крупной фракции 40×60 с насыщенным вкусом</t>
  </si>
  <si>
    <t xml:space="preserve">Чеснок 26*40 </t>
  </si>
  <si>
    <t>Сушёный чеснок средней фракции 26×40 с ярким характерным ароматом</t>
  </si>
  <si>
    <t>Сушёный чеснок средней фракции 26×40 со сбалансированным вкусом</t>
  </si>
  <si>
    <t xml:space="preserve">Чеснок 16*26 </t>
  </si>
  <si>
    <t>Сушёный чеснок мелкой фракции 16×26 с интенсивным ароматом</t>
  </si>
  <si>
    <t xml:space="preserve">Чеснок молотый </t>
  </si>
  <si>
    <t>Тонко молотый сушёный чеснок с ярким острым вкусом и ароматом</t>
  </si>
  <si>
    <t xml:space="preserve">100% чеснок сушёный, молотый </t>
  </si>
  <si>
    <t>мешок 25 кг</t>
  </si>
  <si>
    <t>Молотый сушёный чеснок с насыщенным чесночным профиле</t>
  </si>
  <si>
    <t>Монопродукты</t>
  </si>
  <si>
    <t>Сушёные овощи, фрукты, ягоды</t>
  </si>
  <si>
    <t>Апельсин кольца(сушеный)</t>
  </si>
  <si>
    <t>Сушёные кольца апельсина с ярким цитрусовым ароматом и декоративным видом.</t>
  </si>
  <si>
    <t>100% апельсин, сушёные ломтики.</t>
  </si>
  <si>
    <t>Десерты, напитки, чайные смеси, декор блюд и коктейлей, кондитерские изделия.</t>
  </si>
  <si>
    <t>Классические специи и пряности</t>
  </si>
  <si>
    <t>Бадьян сорт G</t>
  </si>
  <si>
    <t>Целые звёздочки бадьяна с ярким анисово-пряным ароматом. Придаёт продуктам тёплый, сладковато-пряный вкус.</t>
  </si>
  <si>
    <t>100% бадьян, сорт G.</t>
  </si>
  <si>
    <t>Маринады, соусы, мясные и рыбные блюда, кондитерские изделия, напитки, пряные смеси для азиатской кухни.</t>
  </si>
  <si>
    <t>Базилик(рейган)зелень</t>
  </si>
  <si>
    <t>Сушёные листья базилика (рейгана) с характерным свежим пряно-травяным ароматом. Подчёркивает вкус овощных и мясных блюд.</t>
  </si>
  <si>
    <t>100% базилик (рейган), сушёная зелень.</t>
  </si>
  <si>
    <t>Соусы, томатные основы, блюда из мяса и птицы, рыбы, паста, пицца, овощные гарниры и салаты.</t>
  </si>
  <si>
    <t>Ваниль стручки</t>
  </si>
  <si>
    <t>Целые стручки ванили с насыщенным сладким ванильным ароматом. Используются для премиальных десертов и напитков.</t>
  </si>
  <si>
    <t>Натуральные стручки ванили.</t>
  </si>
  <si>
    <t>Кондитерские изделия, мороженое, кремы, десерты, напитки, сиропы, ароматизация сахара и сливок.</t>
  </si>
  <si>
    <t>Гвоздика целая</t>
  </si>
  <si>
    <t>Целые бутоны гвоздики с ярким тёплым пряным ароматом и лёгкой жгучестью.</t>
  </si>
  <si>
    <t>100% сушёная гвоздика, бутоны.</t>
  </si>
  <si>
    <t>Маринады, консервация, мясные и рыбные блюда, пряные напитки (глинтвейн, чай), кондитерские изделия.</t>
  </si>
  <si>
    <t>Грибы сушеные: Шампиньоны резаные</t>
  </si>
  <si>
    <t>Сушёные шампиньоны в резаном виде, с сохранённым грибным вкусом и ароматом.</t>
  </si>
  <si>
    <t>100% шампиньоны сушёные, резаные.</t>
  </si>
  <si>
    <t>Супы, соусы, гарниры, начинки, полуфабрикаты, сухие смеси и приправы.</t>
  </si>
  <si>
    <t>Кардамон зерно в/с</t>
  </si>
  <si>
    <t>Целые зёрна кардамона высшего сорта с интенсивным пряно-цитрусовым ароматом.</t>
  </si>
  <si>
    <t>100% кардамон, зёрна, высший сорт.</t>
  </si>
  <si>
    <t>Колбасные и деликатесные изделия, маринады, десерты, напитки, чайные и кофейные смеси, пряные купажи.</t>
  </si>
  <si>
    <t>Кориандр зерно</t>
  </si>
  <si>
    <t>Целые семена кориандра с мягким пряно-цитрусовым ароматом и лёгкой сладостью.</t>
  </si>
  <si>
    <t>100% семена кориандра.</t>
  </si>
  <si>
    <t>Колбасные изделия, маринады, рассолы, мясные и рыбные блюда, хлебобулочные изделия, пряные смеси.</t>
  </si>
  <si>
    <t>Кориандр молотый в/с</t>
  </si>
  <si>
    <t>Молотый кориандр высшего сорта с выраженным тёплым пряным ароматом и цитрусовыми нотами.</t>
  </si>
  <si>
    <t>100% семена кориандра, молотые, высший сорт.</t>
  </si>
  <si>
    <t>Колбасные изделия, фарши, маринады, соусы, овощные блюда, хлебобулочные изделия и приправы.</t>
  </si>
  <si>
    <t>Корица молотая 1с 0,5%</t>
  </si>
  <si>
    <t>Молотая корица 1 сорта, даёт мягкий сладко-пряный аромат при деликатной дозировке.</t>
  </si>
  <si>
    <t>100% корица, молотая, 1 сорт.</t>
  </si>
  <si>
    <t>Кондитерские изделия, выпечка, десерты, напитки, фруктовые и молочные продукты, пряные смеси.</t>
  </si>
  <si>
    <t>Корица молотая экстра 2,5%</t>
  </si>
  <si>
    <t>Молотая корица высокого качества с интенсивным ароматом, рассчитана на более высокие дозировки.</t>
  </si>
  <si>
    <t>100% корица, молотая, экстра.</t>
  </si>
  <si>
    <t>Премиальная выпечка и десерты, пряные напитки, ароматизация сиропов, фруктовые и молочные продукты.</t>
  </si>
  <si>
    <t>Корица палочки 8см</t>
  </si>
  <si>
    <t>Палочки корицы длиной около 8 см с насыщенным сладко-пряным ароматом.</t>
  </si>
  <si>
    <t>100% корица, цельные палочки.</t>
  </si>
  <si>
    <t>Настои и напитки, глинтвейн, чай и кофе, десерты, декор, ароматизация сиропов и компотов.</t>
  </si>
  <si>
    <t>Куркума молотая в/с</t>
  </si>
  <si>
    <t>Молотая куркума высшего сорта ярко-жёлтого цвета с мягким пряным вкусом.</t>
  </si>
  <si>
    <t>100% корень куркумы, молотый, высший сорт.</t>
  </si>
  <si>
    <t>Колбасные изделия, маринады, соусы, рис и гарниры, закуски, функциональные смеси и карри.</t>
  </si>
  <si>
    <t>Куркума молотая(Турмерик)1с</t>
  </si>
  <si>
    <t>Молотая куркума (турмерик) 1 сорта с характерным цветом и пряным ароматом.</t>
  </si>
  <si>
    <t>100% корень куркумы (турмерик), молотый, 1 сорт.</t>
  </si>
  <si>
    <t>Колбасные изделия, маринады, соусы, закуски, блюда азиатской кухни, смеси карри и функциональные смеси.</t>
  </si>
  <si>
    <t>Лаванда цветки</t>
  </si>
  <si>
    <t>Сушёные цветки лаванды с характерным цветочно-травяным ароматом.</t>
  </si>
  <si>
    <t>100% цветки лаванды, сушёные.</t>
  </si>
  <si>
    <t>Чайные и травяные смеси, кондитерские изделия, десерты, напитки, ароматизация сиропов и меда.</t>
  </si>
  <si>
    <t>Лавровый лист целый 1с</t>
  </si>
  <si>
    <t>Целые лавровые листья 1 сорта с выраженным пряным ароматом.</t>
  </si>
  <si>
    <t>100% лавровый лист, 1 сорт.</t>
  </si>
  <si>
    <t>Супы, соусы, тушёные блюда, маринады, рассолы, консервация овощей, мясные и рыбные изделия.</t>
  </si>
  <si>
    <t>Лавровый лист целый вс</t>
  </si>
  <si>
    <t>Целые лавровые листья высшего сорта с интенсивным ароматом.</t>
  </si>
  <si>
    <t>100% лавровый лист, высший сорт.</t>
  </si>
  <si>
    <t>Супы, соусы, тушёные блюда, маринады, рассолы, консервация, премиальные мясные и рыбные изделия.</t>
  </si>
  <si>
    <t>Лён бурый</t>
  </si>
  <si>
    <t>Семена бурого льна — источник растительной клетчатки и жирных кислот Омега-3.</t>
  </si>
  <si>
    <t>100% семена льна бурого.</t>
  </si>
  <si>
    <t>Хлебобулочные и зерновые продукты, гранола, функциональные смеси, батончики, обогащение рациона клетчаткой.</t>
  </si>
  <si>
    <t>Лимон дольки, четвертинки</t>
  </si>
  <si>
    <t>Сушёные дольки и четвертинки лимона с ярким кисло-цитрусовым вкусом и ароматом.</t>
  </si>
  <si>
    <t>100% лимон, сушёный.</t>
  </si>
  <si>
    <t>Чайные и травяные смеси, напитки, десерты, декор блюд и коктейлей, кондитерские изделия.</t>
  </si>
  <si>
    <t>Лук дробленый 1*3</t>
  </si>
  <si>
    <t>Сушёный лук фракции 1–3 мм с выраженным луковым вкусом и ароматом.</t>
  </si>
  <si>
    <t>100% репчатый лук сушёный, дроблёный 1–3 мм.</t>
  </si>
  <si>
    <t>Колбасные изделия, фарши, супы, соусы, полуфабрикаты, сухие смеси и HoReCa-решения.</t>
  </si>
  <si>
    <t>Сушёный лук тонкого помола, усиливает общий вкусо-ароматический фон.</t>
  </si>
  <si>
    <t>100% репчатый лук сушёный, молотый.</t>
  </si>
  <si>
    <t>Фарши, колбасные изделия, супы, соусы, майонезы, полуфабрикаты, приправы и смеси.</t>
  </si>
  <si>
    <t>Лук обжаренный в масле</t>
  </si>
  <si>
    <t>Лук, обжаренный в масле и высушенный, с выраженным сладко-карамельным вкусом и ароматом жареного лука.</t>
  </si>
  <si>
    <t>Лук, растительное масло (тип и состав по ТУ), возможно поваренная соль (при наличии в рецептуре).</t>
  </si>
  <si>
    <t>Готовые блюда, фастфуд, закуски, колбасные изделия, полуфабрикаты, смеси для бургеров и стритфуда.</t>
  </si>
  <si>
    <t>Лук хлопья сорт А</t>
  </si>
  <si>
    <t>Сушёный лук в виде хлопьев сорта А, с выраженным ароматом и быстрым восстановлением.</t>
  </si>
  <si>
    <t>100% репчатый лук сушёный, хлопья сорта А.</t>
  </si>
  <si>
    <t>Супы, соусы, полуфабрикаты, сухие смеси, приправы, HoReCa.</t>
  </si>
  <si>
    <t>Майоран лист</t>
  </si>
  <si>
    <t>Сушёные листья майорана с мягким тёплым пряно-травяным ароматом.</t>
  </si>
  <si>
    <t>100% майоран, сушёные листья.</t>
  </si>
  <si>
    <t>Колбасные изделия, фарши, мясные и овощные блюда, супы, соусы, пряные смеси и маринады.</t>
  </si>
  <si>
    <t xml:space="preserve">Морковь сушеная молотая </t>
  </si>
  <si>
    <t>Молотая сушёная морковь с мягким сладковатым овощным вкусом и естественным цветом.</t>
  </si>
  <si>
    <t>100% морковь сушёная, молотая.</t>
  </si>
  <si>
    <t>Колбасные изделия, супы и соусы, овощные смеси, функциональные смеси, хлебобулочные изделия.</t>
  </si>
  <si>
    <t>Морковь сушеная резаная 5*5</t>
  </si>
  <si>
    <t>Сушёная морковь в виде кубиков/кусочков 5×5 мм, с натуральным цветом и сладостью.</t>
  </si>
  <si>
    <t>100% морковь сушёная, резаная 5×5 мм.</t>
  </si>
  <si>
    <t>Супы, гарниры, овощные смеси, колбасные изделия с включениями, консервация, полуфабрикаты.</t>
  </si>
  <si>
    <t>Мускатный орех целый 1с</t>
  </si>
  <si>
    <t>Целые ядра мускатного ореха 1 сорта с интенсивным пряным ароматом.</t>
  </si>
  <si>
    <t>100% мускатный орех, целый, 1 сорт.</t>
  </si>
  <si>
    <t>Колбасные изделия, соусы, паштеты, переработка птицы, сыры, кондитерские изделия, тёртый при приготовлении.</t>
  </si>
  <si>
    <t>Мята</t>
  </si>
  <si>
    <t>Сушёная мята с освежающим ментоловым ароматом.</t>
  </si>
  <si>
    <t>100% листья мяты, сушёные.</t>
  </si>
  <si>
    <t>Чайные и травяные смеси, десерты, напитки, соусы, сладкие и фруктовые блюда, функциональные смеси.</t>
  </si>
  <si>
    <t>Орегано(душица)лист</t>
  </si>
  <si>
    <t>Сушёные листья орегано (душицы) с характерным пряным средиземноморским ароматом.</t>
  </si>
  <si>
    <t>100% орегано (душица), сушёные листья.</t>
  </si>
  <si>
    <t>Соусы, пицца, блюда из мяса и птицы, овощные блюда, томатные основы, пряные смеси для HoReCa.</t>
  </si>
  <si>
    <t>Паприка красная копчена молотая АСТА 130</t>
  </si>
  <si>
    <t>Молотая копчёная красная паприка с ярким цветом (ASTA ~130) и выраженным копчёно-пряным ароматом.</t>
  </si>
  <si>
    <t>100% молотая копчёная паприка.</t>
  </si>
  <si>
    <t>Колбасные изделия, колбаски-гриль, маринады для шашлыка и барбекю, соусы, закуски и сухие смеси.</t>
  </si>
  <si>
    <t>Паприка красная сладкая молотая АСТА 120</t>
  </si>
  <si>
    <t>Молотая сладкая красная паприка (ASTA ~120) c насыщенным цветом и мягким сладковатым вкусом.</t>
  </si>
  <si>
    <t>100% паприка красная сладкая, молотая.</t>
  </si>
  <si>
    <t>Колбасные изделия, маринады, соусы, закуски, снековая продукция, приправы и смеси.</t>
  </si>
  <si>
    <t>Паприка красная сладкая молотая АСТА 150</t>
  </si>
  <si>
    <t>Молотая сладкая паприка повышенной цветности (ASTA ~150) с ярким красным оттенком.</t>
  </si>
  <si>
    <t>Премиальные колбасные изделия, маринады, соусы, закуски, функциональные смеси для яркого цвета.</t>
  </si>
  <si>
    <t>Перец душистый горошек</t>
  </si>
  <si>
    <t>Целые горошины душистого перца с тёплым комплексным ароматом (гвоздика, корица, перец).</t>
  </si>
  <si>
    <t>100% душистый перец, горошек.</t>
  </si>
  <si>
    <t>Колбасные изделия, маринады, рассолы, консервация, супы и соусы, пряные смеси.</t>
  </si>
  <si>
    <t xml:space="preserve">Перец красный(чили)дробленый </t>
  </si>
  <si>
    <t>Дроблёный красный перец чили с выраженной остротой и видимыми включениями.</t>
  </si>
  <si>
    <t>100% красный перец чили, дроблёный.</t>
  </si>
  <si>
    <t>Острые колбасные изделия, маринады, закуски, соусы, смеси для гриля и барбекю.</t>
  </si>
  <si>
    <t>Перец красный(чили)молотый 1с</t>
  </si>
  <si>
    <t>Молотый красный перец чили 1 сорта с острой жгучестью и ярким цветом.</t>
  </si>
  <si>
    <t>100% красный перец чили, молотый, 1 сорт.</t>
  </si>
  <si>
    <t>Острые колбасы, маринады, соусы, закуски, снековая продукция, пряные смеси.</t>
  </si>
  <si>
    <t>Перец красный(чили)молотый в/с</t>
  </si>
  <si>
    <t>Молотый красный перец чили высшего сорта с насыщенным цветом и стабильной остротой.</t>
  </si>
  <si>
    <t>100% красный перец чили, молотый, высший сорт.</t>
  </si>
  <si>
    <t>Премиальные острые изделия, маринады, соусы, закуски, функциональные пряные смеси.</t>
  </si>
  <si>
    <t>Перец сладкий зеленый хлопьями 3*3</t>
  </si>
  <si>
    <t>Сушёный сладкий зелёный перец, нарезанный хлопьями 3×3 мм.</t>
  </si>
  <si>
    <t>100% сладкий зелёный перец, сушёный, хлопья 3×3 мм.</t>
  </si>
  <si>
    <t>Смеси овощей, суповые и гарнировые смеси, колбасные изделия, соусы, консервация, HoReCa-смеси.</t>
  </si>
  <si>
    <t>Перец сладкий красный хлопьями 3*3</t>
  </si>
  <si>
    <t>Сушёный сладкий красный перец, нарезанный хлопьями 3×3 мм, с ярким цветом.</t>
  </si>
  <si>
    <t>100% сладкий красный перец, сушёный, хлопья 3×3 мм.</t>
  </si>
  <si>
    <t>Колбасные изделия, маринады, овощные смеси, супы, гарниры, соусы, консервация.</t>
  </si>
  <si>
    <t>Перец сладкий красный хлопьями 6*6</t>
  </si>
  <si>
    <t>Сушёный сладкий красный перец, нарезанный крупными хлопьями 6×6 мм.</t>
  </si>
  <si>
    <t>100% сладкий красный перец, сушёный, хлопья 6×6 мм.</t>
  </si>
  <si>
    <t>Колбасные изделия с видимыми включениями, салаты, гарниры, смеси для HoReCa, блюда гриль.</t>
  </si>
  <si>
    <t>Перец черный горошек г/л 500</t>
  </si>
  <si>
    <t>Чёрный перец горошком со средней насыпной плотностью (~500 г/л), классический пряно-острый аромат.</t>
  </si>
  <si>
    <t>100% чёрный перец, горошек, насыпная плотность ~500 г/л.</t>
  </si>
  <si>
    <t>Маринады, рассолы, консервация, мясные и рыбные блюда, измельчение на производстве, пряные смеси.</t>
  </si>
  <si>
    <t>Перец черный горошек г/л 550/570</t>
  </si>
  <si>
    <t>Чёрный перец горошком повышенной насыпной плотности (~550–570 г/л), стабильное качество.</t>
  </si>
  <si>
    <t>100% чёрный перец, горошек, насыпная плотность ~550–570 г/л.</t>
  </si>
  <si>
    <t>Маринады, рассолы, консервация, премиальные мясные и рыбные изделия, пряные смеси.</t>
  </si>
  <si>
    <t>Петрушка сушеная зелень</t>
  </si>
  <si>
    <t>Сушёная зелень петрушки с характерным свежим травяным ароматом и зелёным цветом.</t>
  </si>
  <si>
    <t>100% петрушка, сушёная зелень.</t>
  </si>
  <si>
    <t>Супы, соусы, гарниры, блюда из мяса, рыбы и овощей, приправы и смеси, HoReCa.</t>
  </si>
  <si>
    <t>Свекла кубик 3*3</t>
  </si>
  <si>
    <t>Сушёная свёкла в виде кубиков 3×3 мм с насыщенным красным цветом.</t>
  </si>
  <si>
    <t>100% свёкла сушёная, кубики 3×3 мм.</t>
  </si>
  <si>
    <r>
      <rPr>
        <sz val="9"/>
        <rFont val="Calibri"/>
        <family val="2"/>
        <charset val="204"/>
        <scheme val="minor"/>
      </rPr>
      <t xml:space="preserve">Колбасные изделия (цвет и включения), </t>
    </r>
    <r>
      <rPr>
        <sz val="9"/>
        <color theme="1"/>
        <rFont val="Calibri"/>
        <family val="2"/>
        <charset val="204"/>
        <scheme val="minor"/>
      </rPr>
      <t>супы, салаты, овощные смеси, функциональные смеси и закуски.</t>
    </r>
  </si>
  <si>
    <t>Свекла молотая</t>
  </si>
  <si>
    <t>Молотая сушёная свёкла с натуральным сладковатым вкусом и окрашивающим эффектом.</t>
  </si>
  <si>
    <t>100% свёкла сушёная, молотая.</t>
  </si>
  <si>
    <t>Колбасные изделия, соусы, кремы, функциональные смеси, закуски, изделия с натуральным цветом.</t>
  </si>
  <si>
    <t>Молотый тмин с характерным пряным ароматом и лёгкой горчинкой.</t>
  </si>
  <si>
    <t>100% семена тмина, молотые.</t>
  </si>
  <si>
    <t>Колбасные изделия, хлебобулочные изделия, сыры, маринады, овощные блюда, пряные смеси.</t>
  </si>
  <si>
    <t>Томаты молотые</t>
  </si>
  <si>
    <t>Молотые сушёные томаты с концентрированным томатным вкусом и ароматом.</t>
  </si>
  <si>
    <t>100% томаты сушёные, молотые.</t>
  </si>
  <si>
    <t>Соусы, кетчупы, маринады, колбасные изделия, закуски, сухие смеси, функциональные приправы.</t>
  </si>
  <si>
    <t>Укроп сушеный зелень</t>
  </si>
  <si>
    <t>Сушёная зелень укропа с характерным свежим ароматом.</t>
  </si>
  <si>
    <t>100% укроп, сушёная зелень.</t>
  </si>
  <si>
    <t>Супы, соусы, маринады, рыба, картофель и овощные блюда, приправы и смеси.</t>
  </si>
  <si>
    <t>Хрен дробленый 8*16</t>
  </si>
  <si>
    <t>Сушёный хрен, дроблёный до фракции 8×16, с выраженной остротой и ароматом.</t>
  </si>
  <si>
    <t>100% корень хрена, дроблёный (8×16).</t>
  </si>
  <si>
    <t>Острые соусы и приправы, маринады, мясные и рыбные изделия, закуски, функциональные смеси.</t>
  </si>
  <si>
    <t>Молотый хрен с интенсивной остротой и характерным ароматом.</t>
  </si>
  <si>
    <t>100% корень хрена, молотый.</t>
  </si>
  <si>
    <t>Соусы, приправы, маринады, мясные и рыбные блюда, закуски, пряные смеси.</t>
  </si>
  <si>
    <t>Чеснок гранулированный 40–60.</t>
  </si>
  <si>
    <t>Сушёный гранулированный чеснок универсальной фракции с ярким чесночным ароматом.</t>
  </si>
  <si>
    <t>100% чеснок сушёный, гранулированный фракция 40–60.</t>
  </si>
  <si>
    <t>Колбасные изделия, фарши, маринады, соусы, полуфабрикаты, сухие приправы и смеси.</t>
  </si>
  <si>
    <t>Шафран в пластике (стоимость за 1 гр)</t>
  </si>
  <si>
    <t>Натуральный шафран в пластинках с интенсивным ароматом и ярким жёлто-оранжевым окрашивающим эффектом.</t>
  </si>
  <si>
    <t>Натуральный шафран (рыльца), сушёный.</t>
  </si>
  <si>
    <t>Рисовые блюда, премиальные соусы, рыбные и морепродуктовые блюда, выпечка, десерты, напитки.</t>
  </si>
  <si>
    <t>Шиповник плоды</t>
  </si>
  <si>
    <t>Сушёные плоды шиповника с естественным кисло-фруктовым вкусом и высоким содержанием витамина C (естественного происхождения).</t>
  </si>
  <si>
    <t>100% плоды шиповника, сушёные.</t>
  </si>
  <si>
    <t>Чайные и травяные смеси, напитки, сиропы, десерты, функциональные продукты и смеси.</t>
  </si>
  <si>
    <t>Яблоки(сушеные)кубики 5*5</t>
  </si>
  <si>
    <t>Сушёные яблочные кубики 5×5 мм с мягким фруктовым вкусом и ароматом.</t>
  </si>
  <si>
    <t>100% яблоки сушёные, кубики 5×5 мм.</t>
  </si>
  <si>
    <t>Кондитерские изделия, мюсли и гранола, десерты, напитки, начинки, функциональные смеси и батончики.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</si>
</sst>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18" x14ac:knownFonts="1">
    <font>
      <sz val="11"/>
      <color theme="1"/>
      <name val="Calibri"/>
      <scheme val="minor"/>
    </font>
    <font>
      <u/>
      <sz val="11"/>
      <color theme="10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Arial Nova Light"/>
      <family val="2"/>
      <charset val="204"/>
    </font>
    <font>
      <sz val="1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color theme="0"/>
      <name val="Calibri"/>
      <family val="2"/>
      <charset val="204"/>
      <scheme val="minor"/>
    </font>
    <font>
      <sz val="11"/>
      <color theme="9" tint="-0.249977111117893"/>
      <name val="Calibri"/>
      <family val="2"/>
      <charset val="204"/>
      <scheme val="minor"/>
    </font>
    <font>
      <u/>
      <sz val="10"/>
      <color theme="1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0"/>
      <color indexed="2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u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35">
    <xf numFmtId="0" fontId="0" fillId="0" borderId="0"/>
    <xf numFmtId="0" fontId="1" fillId="0" borderId="0" applyNumberFormat="0" applyFill="0" applyBorder="0" applyProtection="0"/>
    <xf numFmtId="0" fontId="2" fillId="0" borderId="0"/>
    <xf numFmtId="0" fontId="3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Protection="0"/>
  </cellStyleXfs>
  <cellXfs count="37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1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vertical="center"/>
    </xf>
    <xf numFmtId="0" fontId="10" fillId="2" borderId="0" xfId="0" applyFont="1" applyFill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164" fontId="9" fillId="0" borderId="6" xfId="0" applyNumberFormat="1" applyFont="1" applyBorder="1" applyAlignment="1">
      <alignment vertical="center" wrapText="1"/>
    </xf>
    <xf numFmtId="43" fontId="9" fillId="0" borderId="5" xfId="134" applyFont="1" applyBorder="1" applyAlignment="1">
      <alignment horizontal="center" vertical="center"/>
    </xf>
    <xf numFmtId="43" fontId="13" fillId="6" borderId="0" xfId="134" applyFont="1" applyFill="1" applyAlignment="1">
      <alignment horizontal="center" vertical="center"/>
    </xf>
    <xf numFmtId="43" fontId="13" fillId="0" borderId="5" xfId="134" applyFont="1" applyBorder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0" fontId="9" fillId="0" borderId="0" xfId="0" applyFont="1" applyBorder="1" applyAlignment="1">
      <alignment vertical="center" wrapText="1"/>
    </xf>
  </cellXfs>
  <cellStyles count="135">
    <cellStyle name="Гиперссылка" xfId="1" builtinId="8"/>
    <cellStyle name="Обычный" xfId="0" builtinId="0"/>
    <cellStyle name="Обычный 10" xfId="2" xr:uid="{00000000-0005-0000-0000-000002000000}"/>
    <cellStyle name="Обычный 10 2" xfId="3" xr:uid="{00000000-0005-0000-0000-000003000000}"/>
    <cellStyle name="Обычный 10 3" xfId="4" xr:uid="{00000000-0005-0000-0000-000004000000}"/>
    <cellStyle name="Обычный 11" xfId="5" xr:uid="{00000000-0005-0000-0000-000005000000}"/>
    <cellStyle name="Обычный 2" xfId="6" xr:uid="{00000000-0005-0000-0000-000006000000}"/>
    <cellStyle name="Обычный 2 10" xfId="7" xr:uid="{00000000-0005-0000-0000-000007000000}"/>
    <cellStyle name="Обычный 2 2" xfId="8" xr:uid="{00000000-0005-0000-0000-000008000000}"/>
    <cellStyle name="Обычный 2 2 2" xfId="9" xr:uid="{00000000-0005-0000-0000-000009000000}"/>
    <cellStyle name="Обычный 2 2 2 2" xfId="10" xr:uid="{00000000-0005-0000-0000-00000A000000}"/>
    <cellStyle name="Обычный 2 2 2 2 2" xfId="11" xr:uid="{00000000-0005-0000-0000-00000B000000}"/>
    <cellStyle name="Обычный 2 2 2 2 3" xfId="12" xr:uid="{00000000-0005-0000-0000-00000C000000}"/>
    <cellStyle name="Обычный 2 2 2 2 4" xfId="13" xr:uid="{00000000-0005-0000-0000-00000D000000}"/>
    <cellStyle name="Обычный 2 2 2 3" xfId="14" xr:uid="{00000000-0005-0000-0000-00000E000000}"/>
    <cellStyle name="Обычный 2 2 2 3 2" xfId="15" xr:uid="{00000000-0005-0000-0000-00000F000000}"/>
    <cellStyle name="Обычный 2 2 2 4" xfId="16" xr:uid="{00000000-0005-0000-0000-000010000000}"/>
    <cellStyle name="Обычный 2 2 2 5" xfId="17" xr:uid="{00000000-0005-0000-0000-000011000000}"/>
    <cellStyle name="Обычный 2 2 2 6" xfId="18" xr:uid="{00000000-0005-0000-0000-000012000000}"/>
    <cellStyle name="Обычный 2 2 3" xfId="19" xr:uid="{00000000-0005-0000-0000-000013000000}"/>
    <cellStyle name="Обычный 2 2 3 2" xfId="20" xr:uid="{00000000-0005-0000-0000-000014000000}"/>
    <cellStyle name="Обычный 2 2 3 2 2" xfId="21" xr:uid="{00000000-0005-0000-0000-000015000000}"/>
    <cellStyle name="Обычный 2 2 3 2 3" xfId="22" xr:uid="{00000000-0005-0000-0000-000016000000}"/>
    <cellStyle name="Обычный 2 2 3 3" xfId="23" xr:uid="{00000000-0005-0000-0000-000017000000}"/>
    <cellStyle name="Обычный 2 2 3 4" xfId="24" xr:uid="{00000000-0005-0000-0000-000018000000}"/>
    <cellStyle name="Обычный 2 2 3 5" xfId="25" xr:uid="{00000000-0005-0000-0000-000019000000}"/>
    <cellStyle name="Обычный 2 2 4" xfId="26" xr:uid="{00000000-0005-0000-0000-00001A000000}"/>
    <cellStyle name="Обычный 2 2 4 2" xfId="27" xr:uid="{00000000-0005-0000-0000-00001B000000}"/>
    <cellStyle name="Обычный 2 2 4 3" xfId="28" xr:uid="{00000000-0005-0000-0000-00001C000000}"/>
    <cellStyle name="Обычный 2 2 5" xfId="29" xr:uid="{00000000-0005-0000-0000-00001D000000}"/>
    <cellStyle name="Обычный 2 2 5 2" xfId="30" xr:uid="{00000000-0005-0000-0000-00001E000000}"/>
    <cellStyle name="Обычный 2 2 6" xfId="31" xr:uid="{00000000-0005-0000-0000-00001F000000}"/>
    <cellStyle name="Обычный 2 2 7" xfId="32" xr:uid="{00000000-0005-0000-0000-000020000000}"/>
    <cellStyle name="Обычный 2 2 8" xfId="33" xr:uid="{00000000-0005-0000-0000-000021000000}"/>
    <cellStyle name="Обычный 2 3" xfId="34" xr:uid="{00000000-0005-0000-0000-000022000000}"/>
    <cellStyle name="Обычный 2 3 2" xfId="35" xr:uid="{00000000-0005-0000-0000-000023000000}"/>
    <cellStyle name="Обычный 2 3 2 2" xfId="36" xr:uid="{00000000-0005-0000-0000-000024000000}"/>
    <cellStyle name="Обычный 2 3 2 2 2" xfId="37" xr:uid="{00000000-0005-0000-0000-000025000000}"/>
    <cellStyle name="Обычный 2 3 2 2 3" xfId="38" xr:uid="{00000000-0005-0000-0000-000026000000}"/>
    <cellStyle name="Обычный 2 3 2 3" xfId="39" xr:uid="{00000000-0005-0000-0000-000027000000}"/>
    <cellStyle name="Обычный 2 3 2 4" xfId="40" xr:uid="{00000000-0005-0000-0000-000028000000}"/>
    <cellStyle name="Обычный 2 3 3" xfId="41" xr:uid="{00000000-0005-0000-0000-000029000000}"/>
    <cellStyle name="Обычный 2 3 3 2" xfId="42" xr:uid="{00000000-0005-0000-0000-00002A000000}"/>
    <cellStyle name="Обычный 2 3 3 2 2" xfId="43" xr:uid="{00000000-0005-0000-0000-00002B000000}"/>
    <cellStyle name="Обычный 2 3 3 2 3" xfId="44" xr:uid="{00000000-0005-0000-0000-00002C000000}"/>
    <cellStyle name="Обычный 2 3 3 3" xfId="45" xr:uid="{00000000-0005-0000-0000-00002D000000}"/>
    <cellStyle name="Обычный 2 3 3 4" xfId="46" xr:uid="{00000000-0005-0000-0000-00002E000000}"/>
    <cellStyle name="Обычный 2 3 4" xfId="47" xr:uid="{00000000-0005-0000-0000-00002F000000}"/>
    <cellStyle name="Обычный 2 3 4 2" xfId="48" xr:uid="{00000000-0005-0000-0000-000030000000}"/>
    <cellStyle name="Обычный 2 3 4 3" xfId="49" xr:uid="{00000000-0005-0000-0000-000031000000}"/>
    <cellStyle name="Обычный 2 3 5" xfId="50" xr:uid="{00000000-0005-0000-0000-000032000000}"/>
    <cellStyle name="Обычный 2 3 5 2" xfId="51" xr:uid="{00000000-0005-0000-0000-000033000000}"/>
    <cellStyle name="Обычный 2 3 5 3" xfId="52" xr:uid="{00000000-0005-0000-0000-000034000000}"/>
    <cellStyle name="Обычный 2 3 6" xfId="53" xr:uid="{00000000-0005-0000-0000-000035000000}"/>
    <cellStyle name="Обычный 2 3 7" xfId="54" xr:uid="{00000000-0005-0000-0000-000036000000}"/>
    <cellStyle name="Обычный 2 3 8" xfId="55" xr:uid="{00000000-0005-0000-0000-000037000000}"/>
    <cellStyle name="Обычный 2 4" xfId="56" xr:uid="{00000000-0005-0000-0000-000038000000}"/>
    <cellStyle name="Обычный 2 4 2" xfId="57" xr:uid="{00000000-0005-0000-0000-000039000000}"/>
    <cellStyle name="Обычный 2 4 2 2" xfId="58" xr:uid="{00000000-0005-0000-0000-00003A000000}"/>
    <cellStyle name="Обычный 2 4 2 3" xfId="59" xr:uid="{00000000-0005-0000-0000-00003B000000}"/>
    <cellStyle name="Обычный 2 4 3" xfId="60" xr:uid="{00000000-0005-0000-0000-00003C000000}"/>
    <cellStyle name="Обычный 2 4 3 2" xfId="61" xr:uid="{00000000-0005-0000-0000-00003D000000}"/>
    <cellStyle name="Обычный 2 4 3 3" xfId="62" xr:uid="{00000000-0005-0000-0000-00003E000000}"/>
    <cellStyle name="Обычный 2 4 4" xfId="63" xr:uid="{00000000-0005-0000-0000-00003F000000}"/>
    <cellStyle name="Обычный 2 4 5" xfId="64" xr:uid="{00000000-0005-0000-0000-000040000000}"/>
    <cellStyle name="Обычный 2 4 6" xfId="65" xr:uid="{00000000-0005-0000-0000-000041000000}"/>
    <cellStyle name="Обычный 2 5" xfId="66" xr:uid="{00000000-0005-0000-0000-000042000000}"/>
    <cellStyle name="Обычный 2 5 2" xfId="67" xr:uid="{00000000-0005-0000-0000-000043000000}"/>
    <cellStyle name="Обычный 2 5 2 2" xfId="68" xr:uid="{00000000-0005-0000-0000-000044000000}"/>
    <cellStyle name="Обычный 2 5 2 3" xfId="69" xr:uid="{00000000-0005-0000-0000-000045000000}"/>
    <cellStyle name="Обычный 2 5 3" xfId="70" xr:uid="{00000000-0005-0000-0000-000046000000}"/>
    <cellStyle name="Обычный 2 5 4" xfId="71" xr:uid="{00000000-0005-0000-0000-000047000000}"/>
    <cellStyle name="Обычный 2 5 5" xfId="72" xr:uid="{00000000-0005-0000-0000-000048000000}"/>
    <cellStyle name="Обычный 2 5 6" xfId="73" xr:uid="{00000000-0005-0000-0000-000049000000}"/>
    <cellStyle name="Обычный 2 6" xfId="74" xr:uid="{00000000-0005-0000-0000-00004A000000}"/>
    <cellStyle name="Обычный 2 6 2" xfId="75" xr:uid="{00000000-0005-0000-0000-00004B000000}"/>
    <cellStyle name="Обычный 2 6 3" xfId="76" xr:uid="{00000000-0005-0000-0000-00004C000000}"/>
    <cellStyle name="Обычный 2 6 4" xfId="77" xr:uid="{00000000-0005-0000-0000-00004D000000}"/>
    <cellStyle name="Обычный 2 7" xfId="78" xr:uid="{00000000-0005-0000-0000-00004E000000}"/>
    <cellStyle name="Обычный 2 7 2" xfId="79" xr:uid="{00000000-0005-0000-0000-00004F000000}"/>
    <cellStyle name="Обычный 2 7 3" xfId="80" xr:uid="{00000000-0005-0000-0000-000050000000}"/>
    <cellStyle name="Обычный 2 8" xfId="81" xr:uid="{00000000-0005-0000-0000-000051000000}"/>
    <cellStyle name="Обычный 2 9" xfId="82" xr:uid="{00000000-0005-0000-0000-000052000000}"/>
    <cellStyle name="Обычный 3" xfId="83" xr:uid="{00000000-0005-0000-0000-000053000000}"/>
    <cellStyle name="Обычный 3 2" xfId="84" xr:uid="{00000000-0005-0000-0000-000054000000}"/>
    <cellStyle name="Обычный 3 2 2" xfId="85" xr:uid="{00000000-0005-0000-0000-000055000000}"/>
    <cellStyle name="Обычный 3 2 3" xfId="86" xr:uid="{00000000-0005-0000-0000-000056000000}"/>
    <cellStyle name="Обычный 3 2 4" xfId="87" xr:uid="{00000000-0005-0000-0000-000057000000}"/>
    <cellStyle name="Обычный 3 3" xfId="88" xr:uid="{00000000-0005-0000-0000-000058000000}"/>
    <cellStyle name="Обычный 3 3 2" xfId="89" xr:uid="{00000000-0005-0000-0000-000059000000}"/>
    <cellStyle name="Обычный 3 3 3" xfId="90" xr:uid="{00000000-0005-0000-0000-00005A000000}"/>
    <cellStyle name="Обычный 3 3 4" xfId="91" xr:uid="{00000000-0005-0000-0000-00005B000000}"/>
    <cellStyle name="Обычный 3 4" xfId="92" xr:uid="{00000000-0005-0000-0000-00005C000000}"/>
    <cellStyle name="Обычный 3 4 2" xfId="93" xr:uid="{00000000-0005-0000-0000-00005D000000}"/>
    <cellStyle name="Обычный 3 4 3" xfId="94" xr:uid="{00000000-0005-0000-0000-00005E000000}"/>
    <cellStyle name="Обычный 3 5" xfId="95" xr:uid="{00000000-0005-0000-0000-00005F000000}"/>
    <cellStyle name="Обычный 3 5 2" xfId="96" xr:uid="{00000000-0005-0000-0000-000060000000}"/>
    <cellStyle name="Обычный 3 5 3" xfId="97" xr:uid="{00000000-0005-0000-0000-000061000000}"/>
    <cellStyle name="Обычный 3 6" xfId="98" xr:uid="{00000000-0005-0000-0000-000062000000}"/>
    <cellStyle name="Обычный 3 7" xfId="99" xr:uid="{00000000-0005-0000-0000-000063000000}"/>
    <cellStyle name="Обычный 4" xfId="100" xr:uid="{00000000-0005-0000-0000-000064000000}"/>
    <cellStyle name="Обычный 4 2" xfId="101" xr:uid="{00000000-0005-0000-0000-000065000000}"/>
    <cellStyle name="Обычный 4 2 2" xfId="102" xr:uid="{00000000-0005-0000-0000-000066000000}"/>
    <cellStyle name="Обычный 4 2 3" xfId="103" xr:uid="{00000000-0005-0000-0000-000067000000}"/>
    <cellStyle name="Обычный 4 2 4" xfId="104" xr:uid="{00000000-0005-0000-0000-000068000000}"/>
    <cellStyle name="Обычный 4 3" xfId="105" xr:uid="{00000000-0005-0000-0000-000069000000}"/>
    <cellStyle name="Обычный 4 3 2" xfId="106" xr:uid="{00000000-0005-0000-0000-00006A000000}"/>
    <cellStyle name="Обычный 4 3 3" xfId="107" xr:uid="{00000000-0005-0000-0000-00006B000000}"/>
    <cellStyle name="Обычный 4 3 4" xfId="108" xr:uid="{00000000-0005-0000-0000-00006C000000}"/>
    <cellStyle name="Обычный 4 4" xfId="109" xr:uid="{00000000-0005-0000-0000-00006D000000}"/>
    <cellStyle name="Обычный 4 5" xfId="110" xr:uid="{00000000-0005-0000-0000-00006E000000}"/>
    <cellStyle name="Обычный 4 6" xfId="111" xr:uid="{00000000-0005-0000-0000-00006F000000}"/>
    <cellStyle name="Обычный 5" xfId="112" xr:uid="{00000000-0005-0000-0000-000070000000}"/>
    <cellStyle name="Обычный 5 2" xfId="113" xr:uid="{00000000-0005-0000-0000-000071000000}"/>
    <cellStyle name="Обычный 6" xfId="114" xr:uid="{00000000-0005-0000-0000-000072000000}"/>
    <cellStyle name="Обычный 6 2" xfId="115" xr:uid="{00000000-0005-0000-0000-000073000000}"/>
    <cellStyle name="Обычный 7" xfId="116" xr:uid="{00000000-0005-0000-0000-000074000000}"/>
    <cellStyle name="Обычный 7 2" xfId="117" xr:uid="{00000000-0005-0000-0000-000075000000}"/>
    <cellStyle name="Обычный 7 2 2" xfId="118" xr:uid="{00000000-0005-0000-0000-000076000000}"/>
    <cellStyle name="Обычный 7 2 3" xfId="119" xr:uid="{00000000-0005-0000-0000-000077000000}"/>
    <cellStyle name="Обычный 7 2 4" xfId="120" xr:uid="{00000000-0005-0000-0000-000078000000}"/>
    <cellStyle name="Обычный 7 3" xfId="121" xr:uid="{00000000-0005-0000-0000-000079000000}"/>
    <cellStyle name="Обычный 7 4" xfId="122" xr:uid="{00000000-0005-0000-0000-00007A000000}"/>
    <cellStyle name="Обычный 7 5" xfId="123" xr:uid="{00000000-0005-0000-0000-00007B000000}"/>
    <cellStyle name="Обычный 8" xfId="124" xr:uid="{00000000-0005-0000-0000-00007C000000}"/>
    <cellStyle name="Обычный 8 2" xfId="125" xr:uid="{00000000-0005-0000-0000-00007D000000}"/>
    <cellStyle name="Обычный 8 2 2" xfId="126" xr:uid="{00000000-0005-0000-0000-00007E000000}"/>
    <cellStyle name="Обычный 8 2 3" xfId="127" xr:uid="{00000000-0005-0000-0000-00007F000000}"/>
    <cellStyle name="Обычный 8 2 4" xfId="128" xr:uid="{00000000-0005-0000-0000-000080000000}"/>
    <cellStyle name="Обычный 8 3" xfId="129" xr:uid="{00000000-0005-0000-0000-000081000000}"/>
    <cellStyle name="Обычный 8 4" xfId="130" xr:uid="{00000000-0005-0000-0000-000082000000}"/>
    <cellStyle name="Обычный 8 5" xfId="131" xr:uid="{00000000-0005-0000-0000-000083000000}"/>
    <cellStyle name="Обычный 9" xfId="132" xr:uid="{00000000-0005-0000-0000-000084000000}"/>
    <cellStyle name="Обычный 9 2" xfId="133" xr:uid="{00000000-0005-0000-0000-000085000000}"/>
    <cellStyle name="Финансовый" xfId="13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27135</xdr:colOff>
      <xdr:row>1</xdr:row>
      <xdr:rowOff>27918</xdr:rowOff>
    </xdr:from>
    <xdr:to>
      <xdr:col>2</xdr:col>
      <xdr:colOff>126514</xdr:colOff>
      <xdr:row>1</xdr:row>
      <xdr:rowOff>312796</xdr:rowOff>
    </xdr:to>
    <xdr:pic>
      <xdr:nvPicPr>
        <xdr:cNvPr id="2" name="Рисунок 1" descr="Verde Tech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587429" y="132507"/>
          <a:ext cx="1272262" cy="291227"/>
        </a:xfrm>
        <a:prstGeom prst="rect">
          <a:avLst/>
        </a:prstGeom>
        <a:noFill/>
      </xdr:spPr>
    </xdr:pic>
    <xdr:clientData/>
  </xdr:twoCellAnchor>
  <xdr:oneCellAnchor>
    <xdr:from>
      <xdr:col>6</xdr:col>
      <xdr:colOff>179917</xdr:colOff>
      <xdr:row>550</xdr:row>
      <xdr:rowOff>0</xdr:rowOff>
    </xdr:from>
    <xdr:ext cx="143640" cy="121320"/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8438091" y="3495674"/>
          <a:ext cx="143640" cy="121319"/>
        </a:xfrm>
        <a:prstGeom prst="rect">
          <a:avLst/>
        </a:prstGeom>
        <a:noFill/>
        <a:ln w="9360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/>
      </xdr:style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verdetech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8"/>
  <sheetViews>
    <sheetView tabSelected="1" zoomScale="85" workbookViewId="0">
      <pane ySplit="8" topLeftCell="A9" activePane="bottomLeft" state="frozen"/>
      <selection activeCell="M7" sqref="M7:N7"/>
      <selection pane="bottomLeft" activeCell="O1" sqref="O1:O1048576"/>
    </sheetView>
  </sheetViews>
  <sheetFormatPr defaultColWidth="8.7265625" defaultRowHeight="14.5" x14ac:dyDescent="0.35"/>
  <cols>
    <col min="1" max="1" width="3.54296875" style="2" customWidth="1"/>
    <col min="2" max="2" width="16.81640625" style="3" customWidth="1"/>
    <col min="3" max="3" width="16.453125" style="3" customWidth="1"/>
    <col min="4" max="4" width="17.1796875" style="3" customWidth="1"/>
    <col min="5" max="5" width="32.453125" style="3" customWidth="1"/>
    <col min="6" max="6" width="37.453125" style="3" customWidth="1"/>
    <col min="7" max="7" width="18.54296875" style="3" customWidth="1"/>
    <col min="8" max="8" width="23.1796875" style="4" customWidth="1"/>
    <col min="9" max="9" width="17.1796875" style="3" customWidth="1"/>
    <col min="10" max="11" width="11.1796875" style="3" customWidth="1"/>
    <col min="12" max="14" width="11.453125" style="3" customWidth="1"/>
    <col min="15" max="16384" width="8.7265625" style="1"/>
  </cols>
  <sheetData>
    <row r="1" spans="1:14" ht="8.15" customHeight="1" x14ac:dyDescent="0.35">
      <c r="M1" s="5">
        <v>31.02</v>
      </c>
    </row>
    <row r="2" spans="1:14" ht="29.5" customHeight="1" x14ac:dyDescent="0.35">
      <c r="B2" s="6"/>
      <c r="C2" s="28" t="s">
        <v>0</v>
      </c>
      <c r="D2" s="28"/>
      <c r="E2" s="28"/>
      <c r="F2" s="28"/>
      <c r="G2" s="28"/>
      <c r="H2" s="28"/>
      <c r="I2" s="28"/>
      <c r="J2" s="7"/>
      <c r="K2" s="8" t="s">
        <v>1</v>
      </c>
      <c r="L2" s="7"/>
      <c r="M2" s="9"/>
      <c r="N2" s="9"/>
    </row>
    <row r="3" spans="1:14" s="10" customFormat="1" ht="23.15" customHeight="1" x14ac:dyDescent="0.35">
      <c r="A3" s="11"/>
      <c r="B3" s="12" t="s">
        <v>2</v>
      </c>
      <c r="C3" s="12"/>
      <c r="D3" s="12" t="s">
        <v>3</v>
      </c>
      <c r="E3" s="4"/>
      <c r="F3" s="4" t="s">
        <v>4</v>
      </c>
      <c r="G3" s="4" t="s">
        <v>5</v>
      </c>
      <c r="H3" s="4"/>
      <c r="I3" s="4"/>
      <c r="J3" s="4"/>
      <c r="K3" s="13" t="s">
        <v>6</v>
      </c>
      <c r="L3" s="4"/>
      <c r="M3" s="4"/>
      <c r="N3" s="4"/>
    </row>
    <row r="4" spans="1:14" ht="15" thickBot="1" x14ac:dyDescent="0.4">
      <c r="B4" s="14" t="s">
        <v>7</v>
      </c>
      <c r="C4" s="14"/>
      <c r="D4" s="29" t="s">
        <v>8</v>
      </c>
      <c r="E4" s="29"/>
      <c r="F4" s="29"/>
      <c r="G4" s="29"/>
      <c r="H4" s="29"/>
      <c r="I4" s="29"/>
      <c r="J4" s="14"/>
      <c r="K4" s="14" t="s">
        <v>9</v>
      </c>
      <c r="L4" s="14"/>
    </row>
    <row r="5" spans="1:14" ht="21.65" customHeight="1" x14ac:dyDescent="0.35">
      <c r="B5" s="30" t="s">
        <v>10</v>
      </c>
      <c r="C5" s="30"/>
      <c r="D5" s="30"/>
      <c r="E5" s="30"/>
      <c r="F5" s="30"/>
      <c r="G5" s="30"/>
      <c r="H5" s="30"/>
      <c r="I5" s="32" t="s">
        <v>11</v>
      </c>
      <c r="J5" s="32"/>
      <c r="K5" s="32"/>
      <c r="L5" s="32"/>
      <c r="M5" s="15"/>
      <c r="N5" s="15"/>
    </row>
    <row r="6" spans="1:14" ht="21.65" customHeight="1" x14ac:dyDescent="0.35">
      <c r="B6" s="31"/>
      <c r="C6" s="31"/>
      <c r="D6" s="31"/>
      <c r="E6" s="31"/>
      <c r="F6" s="31"/>
      <c r="G6" s="31"/>
      <c r="H6" s="31"/>
      <c r="I6" s="33"/>
      <c r="J6" s="33"/>
      <c r="K6" s="33"/>
      <c r="L6" s="33"/>
      <c r="M6" s="15"/>
      <c r="N6" s="15"/>
    </row>
    <row r="7" spans="1:14" ht="21.65" customHeight="1" x14ac:dyDescent="0.35">
      <c r="B7" s="4"/>
      <c r="C7" s="4"/>
      <c r="D7" s="4"/>
      <c r="E7" s="4"/>
      <c r="F7" s="4"/>
      <c r="G7" s="4"/>
      <c r="I7" s="15"/>
      <c r="J7" s="15"/>
      <c r="K7" s="34" t="s">
        <v>12</v>
      </c>
      <c r="L7" s="34"/>
      <c r="M7" s="27" t="s">
        <v>13</v>
      </c>
      <c r="N7" s="27"/>
    </row>
    <row r="8" spans="1:14" s="16" customFormat="1" ht="37" customHeight="1" x14ac:dyDescent="0.35">
      <c r="A8" s="17"/>
      <c r="B8" s="18" t="s">
        <v>14</v>
      </c>
      <c r="C8" s="18" t="s">
        <v>15</v>
      </c>
      <c r="D8" s="18" t="s">
        <v>16</v>
      </c>
      <c r="E8" s="18" t="s">
        <v>17</v>
      </c>
      <c r="F8" s="18" t="s">
        <v>18</v>
      </c>
      <c r="G8" s="18" t="s">
        <v>19</v>
      </c>
      <c r="H8" s="18" t="s">
        <v>20</v>
      </c>
      <c r="I8" s="18" t="s">
        <v>21</v>
      </c>
      <c r="J8" s="18" t="s">
        <v>22</v>
      </c>
      <c r="K8" s="18" t="s">
        <v>23</v>
      </c>
      <c r="L8" s="18" t="s">
        <v>24</v>
      </c>
      <c r="M8" s="19" t="s">
        <v>23</v>
      </c>
      <c r="N8" s="19" t="s">
        <v>24</v>
      </c>
    </row>
    <row r="9" spans="1:14" ht="96" x14ac:dyDescent="0.35">
      <c r="B9" s="20" t="s">
        <v>1461</v>
      </c>
      <c r="C9" s="20" t="s">
        <v>1462</v>
      </c>
      <c r="D9" s="20" t="s">
        <v>1463</v>
      </c>
      <c r="E9" s="20" t="s">
        <v>1464</v>
      </c>
      <c r="F9" s="20" t="s">
        <v>1465</v>
      </c>
      <c r="G9" s="20" t="s">
        <v>997</v>
      </c>
      <c r="H9" s="20" t="s">
        <v>1466</v>
      </c>
      <c r="I9" s="21" t="s">
        <v>1467</v>
      </c>
      <c r="J9" s="22" t="s">
        <v>33</v>
      </c>
      <c r="K9" s="23">
        <f>L9/1.22*1</f>
        <v>796.72131147540983</v>
      </c>
      <c r="L9" s="26">
        <v>972</v>
      </c>
      <c r="M9" s="25">
        <v>547.41</v>
      </c>
      <c r="N9" s="25">
        <f>M9*1.22</f>
        <v>667.84019999999998</v>
      </c>
    </row>
    <row r="10" spans="1:14" ht="96" x14ac:dyDescent="0.35">
      <c r="B10" s="20" t="s">
        <v>1461</v>
      </c>
      <c r="C10" s="20" t="s">
        <v>1462</v>
      </c>
      <c r="D10" s="20" t="s">
        <v>1468</v>
      </c>
      <c r="E10" s="20" t="s">
        <v>1469</v>
      </c>
      <c r="F10" s="20" t="s">
        <v>1465</v>
      </c>
      <c r="G10" s="20" t="s">
        <v>997</v>
      </c>
      <c r="H10" s="20" t="s">
        <v>1466</v>
      </c>
      <c r="I10" s="21" t="s">
        <v>1467</v>
      </c>
      <c r="J10" s="22" t="s">
        <v>33</v>
      </c>
      <c r="K10" s="23">
        <f>L10/1.22*1</f>
        <v>855.73770491803282</v>
      </c>
      <c r="L10" s="26">
        <v>1044</v>
      </c>
      <c r="M10" s="25">
        <v>532.66</v>
      </c>
      <c r="N10" s="25">
        <f t="shared" ref="N10:N73" si="0">M10*1.22</f>
        <v>649.84519999999998</v>
      </c>
    </row>
    <row r="11" spans="1:14" ht="84" x14ac:dyDescent="0.35">
      <c r="B11" s="20" t="s">
        <v>1461</v>
      </c>
      <c r="C11" s="20" t="s">
        <v>1462</v>
      </c>
      <c r="D11" s="20" t="s">
        <v>1470</v>
      </c>
      <c r="E11" s="20" t="s">
        <v>1471</v>
      </c>
      <c r="F11" s="20" t="s">
        <v>1472</v>
      </c>
      <c r="G11" s="20" t="s">
        <v>997</v>
      </c>
      <c r="H11" s="20" t="s">
        <v>1466</v>
      </c>
      <c r="I11" s="21" t="s">
        <v>1467</v>
      </c>
      <c r="J11" s="22" t="s">
        <v>33</v>
      </c>
      <c r="K11" s="23">
        <f>L11/1.22*1</f>
        <v>156.55737704918033</v>
      </c>
      <c r="L11" s="26">
        <v>191</v>
      </c>
      <c r="M11" s="25">
        <v>577.74</v>
      </c>
      <c r="N11" s="25">
        <f t="shared" si="0"/>
        <v>704.84280000000001</v>
      </c>
    </row>
    <row r="12" spans="1:14" ht="96" x14ac:dyDescent="0.35">
      <c r="B12" s="20" t="s">
        <v>1461</v>
      </c>
      <c r="C12" s="20" t="s">
        <v>1462</v>
      </c>
      <c r="D12" s="20" t="s">
        <v>1473</v>
      </c>
      <c r="E12" s="20" t="s">
        <v>1474</v>
      </c>
      <c r="F12" s="20" t="s">
        <v>1472</v>
      </c>
      <c r="G12" s="20" t="s">
        <v>997</v>
      </c>
      <c r="H12" s="20" t="s">
        <v>1466</v>
      </c>
      <c r="I12" s="21" t="s">
        <v>1467</v>
      </c>
      <c r="J12" s="22" t="s">
        <v>33</v>
      </c>
      <c r="K12" s="23">
        <f>L12/1.22*1</f>
        <v>1280.327868852459</v>
      </c>
      <c r="L12" s="26">
        <v>1562</v>
      </c>
      <c r="M12" s="25">
        <v>457.25</v>
      </c>
      <c r="N12" s="25">
        <f t="shared" si="0"/>
        <v>557.84500000000003</v>
      </c>
    </row>
    <row r="13" spans="1:14" ht="84" x14ac:dyDescent="0.35">
      <c r="B13" s="20" t="s">
        <v>1461</v>
      </c>
      <c r="C13" s="20" t="s">
        <v>1462</v>
      </c>
      <c r="D13" s="20" t="s">
        <v>1475</v>
      </c>
      <c r="E13" s="20" t="s">
        <v>1476</v>
      </c>
      <c r="F13" s="20" t="s">
        <v>1472</v>
      </c>
      <c r="G13" s="20" t="s">
        <v>997</v>
      </c>
      <c r="H13" s="20" t="s">
        <v>1466</v>
      </c>
      <c r="I13" s="21" t="s">
        <v>1467</v>
      </c>
      <c r="J13" s="22" t="s">
        <v>33</v>
      </c>
      <c r="K13" s="23">
        <f>L13/1.22*1</f>
        <v>911.47540983606564</v>
      </c>
      <c r="L13" s="26">
        <v>1112</v>
      </c>
      <c r="M13" s="25">
        <v>543.32000000000005</v>
      </c>
      <c r="N13" s="25">
        <f t="shared" si="0"/>
        <v>662.85040000000004</v>
      </c>
    </row>
    <row r="14" spans="1:14" ht="84" x14ac:dyDescent="0.35">
      <c r="B14" s="20" t="s">
        <v>1461</v>
      </c>
      <c r="C14" s="20" t="s">
        <v>1462</v>
      </c>
      <c r="D14" s="20" t="s">
        <v>1477</v>
      </c>
      <c r="E14" s="20" t="s">
        <v>1478</v>
      </c>
      <c r="F14" s="20" t="s">
        <v>1472</v>
      </c>
      <c r="G14" s="20" t="s">
        <v>997</v>
      </c>
      <c r="H14" s="20" t="s">
        <v>1466</v>
      </c>
      <c r="I14" s="21" t="s">
        <v>1467</v>
      </c>
      <c r="J14" s="22" t="s">
        <v>33</v>
      </c>
      <c r="K14" s="23">
        <f>L14/1.22*1</f>
        <v>695.90163934426232</v>
      </c>
      <c r="L14" s="26">
        <v>849</v>
      </c>
      <c r="M14" s="25">
        <v>472.82</v>
      </c>
      <c r="N14" s="25">
        <f t="shared" si="0"/>
        <v>576.84039999999993</v>
      </c>
    </row>
    <row r="15" spans="1:14" ht="84" x14ac:dyDescent="0.35">
      <c r="B15" s="20" t="s">
        <v>1461</v>
      </c>
      <c r="C15" s="20" t="s">
        <v>1462</v>
      </c>
      <c r="D15" s="20" t="s">
        <v>1479</v>
      </c>
      <c r="E15" s="20" t="s">
        <v>1480</v>
      </c>
      <c r="F15" s="20" t="s">
        <v>1472</v>
      </c>
      <c r="G15" s="20" t="s">
        <v>997</v>
      </c>
      <c r="H15" s="20" t="s">
        <v>1466</v>
      </c>
      <c r="I15" s="21" t="s">
        <v>1467</v>
      </c>
      <c r="J15" s="22" t="s">
        <v>33</v>
      </c>
      <c r="K15" s="23">
        <f>L15/1.22*1</f>
        <v>400</v>
      </c>
      <c r="L15" s="26">
        <v>488</v>
      </c>
      <c r="M15" s="25">
        <v>532.66</v>
      </c>
      <c r="N15" s="25">
        <f t="shared" si="0"/>
        <v>649.84519999999998</v>
      </c>
    </row>
    <row r="16" spans="1:14" ht="92" x14ac:dyDescent="0.35">
      <c r="B16" s="20" t="s">
        <v>1461</v>
      </c>
      <c r="C16" s="20" t="s">
        <v>1462</v>
      </c>
      <c r="D16" s="20" t="s">
        <v>1481</v>
      </c>
      <c r="E16" s="36" t="s">
        <v>1482</v>
      </c>
      <c r="F16" s="20" t="s">
        <v>1472</v>
      </c>
      <c r="G16" s="20" t="s">
        <v>997</v>
      </c>
      <c r="H16" s="20" t="s">
        <v>1466</v>
      </c>
      <c r="I16" s="21" t="s">
        <v>1467</v>
      </c>
      <c r="J16" s="22" t="s">
        <v>33</v>
      </c>
      <c r="K16" s="23">
        <f>L16/1.22*1</f>
        <v>206.55737704918033</v>
      </c>
      <c r="L16" s="26">
        <v>252</v>
      </c>
      <c r="M16" s="25">
        <v>555.61</v>
      </c>
      <c r="N16" s="25">
        <f t="shared" si="0"/>
        <v>677.8442</v>
      </c>
    </row>
    <row r="17" spans="2:14" ht="72" x14ac:dyDescent="0.35">
      <c r="B17" s="20" t="s">
        <v>1461</v>
      </c>
      <c r="C17" s="20" t="s">
        <v>1462</v>
      </c>
      <c r="D17" s="20" t="s">
        <v>1483</v>
      </c>
      <c r="E17" s="20" t="s">
        <v>1484</v>
      </c>
      <c r="F17" s="20" t="s">
        <v>1485</v>
      </c>
      <c r="G17" s="20" t="s">
        <v>997</v>
      </c>
      <c r="H17" s="20" t="s">
        <v>1466</v>
      </c>
      <c r="I17" s="21" t="s">
        <v>1467</v>
      </c>
      <c r="J17" s="22" t="s">
        <v>33</v>
      </c>
      <c r="K17" s="23">
        <f>L17/1.22*1</f>
        <v>165.57377049180329</v>
      </c>
      <c r="L17" s="26">
        <v>202</v>
      </c>
      <c r="M17" s="25">
        <v>444.95</v>
      </c>
      <c r="N17" s="25">
        <f t="shared" si="0"/>
        <v>542.83899999999994</v>
      </c>
    </row>
    <row r="18" spans="2:14" ht="84" x14ac:dyDescent="0.35">
      <c r="B18" s="20" t="s">
        <v>1461</v>
      </c>
      <c r="C18" s="20" t="s">
        <v>1462</v>
      </c>
      <c r="D18" s="20" t="s">
        <v>1486</v>
      </c>
      <c r="E18" s="20" t="s">
        <v>1487</v>
      </c>
      <c r="F18" s="20" t="s">
        <v>1485</v>
      </c>
      <c r="G18" s="20" t="s">
        <v>997</v>
      </c>
      <c r="H18" s="20" t="s">
        <v>1466</v>
      </c>
      <c r="I18" s="21" t="s">
        <v>1467</v>
      </c>
      <c r="J18" s="22" t="s">
        <v>33</v>
      </c>
      <c r="K18" s="23">
        <f>L18/1.22*1</f>
        <v>163.9344262295082</v>
      </c>
      <c r="L18" s="26">
        <v>200</v>
      </c>
      <c r="M18" s="25">
        <v>476.1</v>
      </c>
      <c r="N18" s="25">
        <f t="shared" si="0"/>
        <v>580.84199999999998</v>
      </c>
    </row>
    <row r="19" spans="2:14" ht="96" x14ac:dyDescent="0.35">
      <c r="B19" s="20" t="s">
        <v>1461</v>
      </c>
      <c r="C19" s="20" t="s">
        <v>1462</v>
      </c>
      <c r="D19" s="20" t="s">
        <v>1488</v>
      </c>
      <c r="E19" s="20" t="s">
        <v>1489</v>
      </c>
      <c r="F19" s="20" t="s">
        <v>1485</v>
      </c>
      <c r="G19" s="20" t="s">
        <v>997</v>
      </c>
      <c r="H19" s="20" t="s">
        <v>1466</v>
      </c>
      <c r="I19" s="21" t="s">
        <v>1467</v>
      </c>
      <c r="J19" s="22" t="s">
        <v>33</v>
      </c>
      <c r="K19" s="23">
        <f>L19/1.22*1</f>
        <v>156.55737704918033</v>
      </c>
      <c r="L19" s="26">
        <v>191</v>
      </c>
      <c r="M19" s="25">
        <v>555.61</v>
      </c>
      <c r="N19" s="25">
        <f t="shared" si="0"/>
        <v>677.8442</v>
      </c>
    </row>
    <row r="20" spans="2:14" ht="96" x14ac:dyDescent="0.35">
      <c r="B20" s="20" t="s">
        <v>1461</v>
      </c>
      <c r="C20" s="20" t="s">
        <v>1490</v>
      </c>
      <c r="D20" s="20" t="s">
        <v>1491</v>
      </c>
      <c r="E20" s="20" t="s">
        <v>1492</v>
      </c>
      <c r="F20" s="20" t="s">
        <v>1493</v>
      </c>
      <c r="G20" s="20" t="s">
        <v>997</v>
      </c>
      <c r="H20" s="20" t="s">
        <v>1466</v>
      </c>
      <c r="I20" s="21" t="s">
        <v>1467</v>
      </c>
      <c r="J20" s="22" t="s">
        <v>33</v>
      </c>
      <c r="K20" s="23">
        <f>L20/1.22*1</f>
        <v>454.91803278688525</v>
      </c>
      <c r="L20" s="26">
        <v>555</v>
      </c>
      <c r="M20" s="25">
        <v>651.51</v>
      </c>
      <c r="N20" s="25">
        <f t="shared" si="0"/>
        <v>794.84219999999993</v>
      </c>
    </row>
    <row r="21" spans="2:14" ht="84" x14ac:dyDescent="0.35">
      <c r="B21" s="20" t="s">
        <v>1461</v>
      </c>
      <c r="C21" s="20" t="s">
        <v>1490</v>
      </c>
      <c r="D21" s="20" t="s">
        <v>1494</v>
      </c>
      <c r="E21" s="20" t="s">
        <v>1495</v>
      </c>
      <c r="F21" s="20" t="s">
        <v>1493</v>
      </c>
      <c r="G21" s="20" t="s">
        <v>997</v>
      </c>
      <c r="H21" s="20" t="s">
        <v>1466</v>
      </c>
      <c r="I21" s="21" t="s">
        <v>1467</v>
      </c>
      <c r="J21" s="22" t="s">
        <v>33</v>
      </c>
      <c r="K21" s="23">
        <f>L21/1.22*1</f>
        <v>364.75409836065575</v>
      </c>
      <c r="L21" s="26">
        <v>445</v>
      </c>
      <c r="M21" s="25">
        <v>532.66</v>
      </c>
      <c r="N21" s="25">
        <f t="shared" si="0"/>
        <v>649.84519999999998</v>
      </c>
    </row>
    <row r="22" spans="2:14" ht="84" x14ac:dyDescent="0.35">
      <c r="B22" s="20" t="s">
        <v>1461</v>
      </c>
      <c r="C22" s="20" t="s">
        <v>1490</v>
      </c>
      <c r="D22" s="20" t="s">
        <v>1496</v>
      </c>
      <c r="E22" s="20" t="s">
        <v>1497</v>
      </c>
      <c r="F22" s="20" t="s">
        <v>1493</v>
      </c>
      <c r="G22" s="20" t="s">
        <v>997</v>
      </c>
      <c r="H22" s="20" t="s">
        <v>1466</v>
      </c>
      <c r="I22" s="21" t="s">
        <v>1467</v>
      </c>
      <c r="J22" s="22" t="s">
        <v>33</v>
      </c>
      <c r="K22" s="23">
        <f>L22/1.22*1</f>
        <v>298.36065573770492</v>
      </c>
      <c r="L22" s="26">
        <v>364</v>
      </c>
      <c r="M22" s="25">
        <v>598.23</v>
      </c>
      <c r="N22" s="25">
        <f t="shared" si="0"/>
        <v>729.84059999999999</v>
      </c>
    </row>
    <row r="23" spans="2:14" ht="84" x14ac:dyDescent="0.35">
      <c r="B23" s="20" t="s">
        <v>1461</v>
      </c>
      <c r="C23" s="20" t="s">
        <v>1490</v>
      </c>
      <c r="D23" s="20" t="s">
        <v>1498</v>
      </c>
      <c r="E23" s="20" t="s">
        <v>1499</v>
      </c>
      <c r="F23" s="20" t="s">
        <v>1493</v>
      </c>
      <c r="G23" s="20" t="s">
        <v>997</v>
      </c>
      <c r="H23" s="20" t="s">
        <v>1466</v>
      </c>
      <c r="I23" s="21" t="s">
        <v>1467</v>
      </c>
      <c r="J23" s="22" t="s">
        <v>33</v>
      </c>
      <c r="K23" s="23">
        <f>L23/1.22*1</f>
        <v>195.90163934426229</v>
      </c>
      <c r="L23" s="26">
        <v>239</v>
      </c>
      <c r="M23" s="25">
        <v>573.64</v>
      </c>
      <c r="N23" s="25">
        <f t="shared" si="0"/>
        <v>699.84079999999994</v>
      </c>
    </row>
    <row r="24" spans="2:14" ht="84" x14ac:dyDescent="0.35">
      <c r="B24" s="20" t="s">
        <v>1461</v>
      </c>
      <c r="C24" s="20" t="s">
        <v>1490</v>
      </c>
      <c r="D24" s="20" t="s">
        <v>1500</v>
      </c>
      <c r="E24" s="20" t="s">
        <v>1501</v>
      </c>
      <c r="F24" s="20" t="s">
        <v>1493</v>
      </c>
      <c r="G24" s="20" t="s">
        <v>997</v>
      </c>
      <c r="H24" s="20" t="s">
        <v>1466</v>
      </c>
      <c r="I24" s="21" t="s">
        <v>1467</v>
      </c>
      <c r="J24" s="22" t="s">
        <v>33</v>
      </c>
      <c r="K24" s="23">
        <f>L24/1.22*1</f>
        <v>129.50819672131149</v>
      </c>
      <c r="L24" s="26">
        <v>158</v>
      </c>
      <c r="M24" s="25">
        <v>576.91999999999996</v>
      </c>
      <c r="N24" s="25">
        <f t="shared" si="0"/>
        <v>703.84239999999988</v>
      </c>
    </row>
    <row r="25" spans="2:14" ht="84" x14ac:dyDescent="0.35">
      <c r="B25" s="20" t="s">
        <v>1461</v>
      </c>
      <c r="C25" s="20" t="s">
        <v>1462</v>
      </c>
      <c r="D25" s="20" t="s">
        <v>1502</v>
      </c>
      <c r="E25" s="20" t="s">
        <v>1503</v>
      </c>
      <c r="F25" s="20" t="s">
        <v>1504</v>
      </c>
      <c r="G25" s="20" t="s">
        <v>997</v>
      </c>
      <c r="H25" s="20" t="s">
        <v>1466</v>
      </c>
      <c r="I25" s="21" t="s">
        <v>1467</v>
      </c>
      <c r="J25" s="22" t="s">
        <v>33</v>
      </c>
      <c r="K25" s="23">
        <f>L25/1.22*1</f>
        <v>2999.1803278688526</v>
      </c>
      <c r="L25" s="26">
        <v>3659</v>
      </c>
      <c r="M25" s="25">
        <v>538.4</v>
      </c>
      <c r="N25" s="25">
        <f t="shared" si="0"/>
        <v>656.84799999999996</v>
      </c>
    </row>
    <row r="26" spans="2:14" ht="84" x14ac:dyDescent="0.35">
      <c r="B26" s="20" t="s">
        <v>1461</v>
      </c>
      <c r="C26" s="20" t="s">
        <v>1505</v>
      </c>
      <c r="D26" s="20" t="s">
        <v>1506</v>
      </c>
      <c r="E26" s="20" t="s">
        <v>1507</v>
      </c>
      <c r="F26" s="20" t="s">
        <v>1504</v>
      </c>
      <c r="G26" s="20" t="s">
        <v>997</v>
      </c>
      <c r="H26" s="20" t="s">
        <v>1466</v>
      </c>
      <c r="I26" s="21" t="s">
        <v>1467</v>
      </c>
      <c r="J26" s="22" t="s">
        <v>33</v>
      </c>
      <c r="K26" s="23">
        <f>L26/1.22*1</f>
        <v>1684.4262295081967</v>
      </c>
      <c r="L26" s="26">
        <v>2055</v>
      </c>
      <c r="M26" s="25">
        <v>550.69000000000005</v>
      </c>
      <c r="N26" s="25">
        <f t="shared" si="0"/>
        <v>671.84180000000003</v>
      </c>
    </row>
    <row r="27" spans="2:14" ht="84" x14ac:dyDescent="0.35">
      <c r="B27" s="20" t="s">
        <v>1461</v>
      </c>
      <c r="C27" s="20" t="s">
        <v>1462</v>
      </c>
      <c r="D27" s="20" t="s">
        <v>1508</v>
      </c>
      <c r="E27" s="20" t="s">
        <v>1509</v>
      </c>
      <c r="F27" s="20" t="s">
        <v>1504</v>
      </c>
      <c r="G27" s="20" t="s">
        <v>997</v>
      </c>
      <c r="H27" s="20" t="s">
        <v>1466</v>
      </c>
      <c r="I27" s="21" t="s">
        <v>1467</v>
      </c>
      <c r="J27" s="22" t="s">
        <v>33</v>
      </c>
      <c r="K27" s="23">
        <f>L27/1.22*1</f>
        <v>1187.704918032787</v>
      </c>
      <c r="L27" s="26">
        <v>1449</v>
      </c>
      <c r="M27" s="25">
        <v>566.27</v>
      </c>
      <c r="N27" s="25">
        <f t="shared" si="0"/>
        <v>690.84939999999995</v>
      </c>
    </row>
    <row r="28" spans="2:14" ht="84" x14ac:dyDescent="0.35">
      <c r="B28" s="20" t="s">
        <v>1461</v>
      </c>
      <c r="C28" s="20" t="s">
        <v>1462</v>
      </c>
      <c r="D28" s="20" t="s">
        <v>1510</v>
      </c>
      <c r="E28" s="20" t="s">
        <v>1511</v>
      </c>
      <c r="F28" s="20" t="s">
        <v>1504</v>
      </c>
      <c r="G28" s="20" t="s">
        <v>997</v>
      </c>
      <c r="H28" s="20" t="s">
        <v>1466</v>
      </c>
      <c r="I28" s="21" t="s">
        <v>1467</v>
      </c>
      <c r="J28" s="22" t="s">
        <v>33</v>
      </c>
      <c r="K28" s="23">
        <f>L28/1.22*1</f>
        <v>892.62295081967216</v>
      </c>
      <c r="L28" s="26">
        <v>1089</v>
      </c>
      <c r="M28" s="25">
        <v>566.27</v>
      </c>
      <c r="N28" s="25">
        <f t="shared" si="0"/>
        <v>690.84939999999995</v>
      </c>
    </row>
    <row r="29" spans="2:14" ht="84" x14ac:dyDescent="0.35">
      <c r="B29" s="20" t="s">
        <v>1461</v>
      </c>
      <c r="C29" s="20" t="s">
        <v>1462</v>
      </c>
      <c r="D29" s="20" t="s">
        <v>1512</v>
      </c>
      <c r="E29" s="20" t="s">
        <v>1513</v>
      </c>
      <c r="F29" s="20" t="s">
        <v>1504</v>
      </c>
      <c r="G29" s="20" t="s">
        <v>997</v>
      </c>
      <c r="H29" s="20" t="s">
        <v>1466</v>
      </c>
      <c r="I29" s="21" t="s">
        <v>1467</v>
      </c>
      <c r="J29" s="22" t="s">
        <v>33</v>
      </c>
      <c r="K29" s="23">
        <f>L29/1.22*1</f>
        <v>409.8360655737705</v>
      </c>
      <c r="L29" s="26">
        <v>500</v>
      </c>
      <c r="M29" s="25">
        <v>555.61</v>
      </c>
      <c r="N29" s="25">
        <f t="shared" si="0"/>
        <v>677.8442</v>
      </c>
    </row>
    <row r="30" spans="2:14" ht="84" x14ac:dyDescent="0.35">
      <c r="B30" s="20" t="s">
        <v>1461</v>
      </c>
      <c r="C30" s="20" t="s">
        <v>1462</v>
      </c>
      <c r="D30" s="20" t="s">
        <v>1514</v>
      </c>
      <c r="E30" s="20" t="s">
        <v>1515</v>
      </c>
      <c r="F30" s="20" t="s">
        <v>1516</v>
      </c>
      <c r="G30" s="20" t="s">
        <v>997</v>
      </c>
      <c r="H30" s="20" t="s">
        <v>1466</v>
      </c>
      <c r="I30" s="21" t="s">
        <v>1467</v>
      </c>
      <c r="J30" s="22" t="s">
        <v>33</v>
      </c>
      <c r="K30" s="23">
        <f>L30/1.22*1</f>
        <v>117.21311475409836</v>
      </c>
      <c r="L30" s="26">
        <v>143</v>
      </c>
      <c r="M30" s="25">
        <v>534.29999999999995</v>
      </c>
      <c r="N30" s="25">
        <f t="shared" si="0"/>
        <v>651.84599999999989</v>
      </c>
    </row>
    <row r="31" spans="2:14" ht="84" x14ac:dyDescent="0.35">
      <c r="B31" s="20" t="s">
        <v>1461</v>
      </c>
      <c r="C31" s="20" t="s">
        <v>1462</v>
      </c>
      <c r="D31" s="20" t="s">
        <v>1517</v>
      </c>
      <c r="E31" s="20" t="s">
        <v>1518</v>
      </c>
      <c r="F31" s="20" t="s">
        <v>1516</v>
      </c>
      <c r="G31" s="20" t="s">
        <v>997</v>
      </c>
      <c r="H31" s="20" t="s">
        <v>1466</v>
      </c>
      <c r="I31" s="21" t="s">
        <v>1467</v>
      </c>
      <c r="J31" s="22" t="s">
        <v>33</v>
      </c>
      <c r="K31" s="23">
        <f>L31/1.22*1</f>
        <v>79.508196721311478</v>
      </c>
      <c r="L31" s="26">
        <v>97</v>
      </c>
      <c r="M31" s="25">
        <v>577.74</v>
      </c>
      <c r="N31" s="25">
        <f t="shared" si="0"/>
        <v>704.84280000000001</v>
      </c>
    </row>
    <row r="32" spans="2:14" ht="72" x14ac:dyDescent="0.35">
      <c r="B32" s="20" t="s">
        <v>1461</v>
      </c>
      <c r="C32" s="20" t="s">
        <v>1462</v>
      </c>
      <c r="D32" s="20" t="s">
        <v>1519</v>
      </c>
      <c r="E32" s="20" t="s">
        <v>1520</v>
      </c>
      <c r="F32" s="20" t="s">
        <v>1516</v>
      </c>
      <c r="G32" s="20" t="s">
        <v>997</v>
      </c>
      <c r="H32" s="20" t="s">
        <v>1466</v>
      </c>
      <c r="I32" s="21" t="s">
        <v>1467</v>
      </c>
      <c r="J32" s="22" t="s">
        <v>33</v>
      </c>
      <c r="K32" s="23">
        <f>L32/1.22*1</f>
        <v>114.75409836065575</v>
      </c>
      <c r="L32" s="26">
        <v>140</v>
      </c>
      <c r="M32" s="25">
        <v>592.5</v>
      </c>
      <c r="N32" s="25">
        <f t="shared" si="0"/>
        <v>722.85</v>
      </c>
    </row>
    <row r="33" spans="2:14" ht="84" x14ac:dyDescent="0.35">
      <c r="B33" s="20" t="s">
        <v>1461</v>
      </c>
      <c r="C33" s="20" t="s">
        <v>1490</v>
      </c>
      <c r="D33" s="20" t="s">
        <v>1521</v>
      </c>
      <c r="E33" s="20" t="s">
        <v>1522</v>
      </c>
      <c r="F33" s="20" t="s">
        <v>1523</v>
      </c>
      <c r="G33" s="20" t="s">
        <v>997</v>
      </c>
      <c r="H33" s="20" t="s">
        <v>1466</v>
      </c>
      <c r="I33" s="21" t="s">
        <v>1467</v>
      </c>
      <c r="J33" s="22" t="s">
        <v>33</v>
      </c>
      <c r="K33" s="23">
        <f>L33/1.22*1</f>
        <v>204.91803278688525</v>
      </c>
      <c r="L33" s="26">
        <v>250</v>
      </c>
      <c r="M33" s="25">
        <v>602.33000000000004</v>
      </c>
      <c r="N33" s="25">
        <f t="shared" si="0"/>
        <v>734.84260000000006</v>
      </c>
    </row>
    <row r="34" spans="2:14" ht="72" x14ac:dyDescent="0.35">
      <c r="B34" s="20" t="s">
        <v>1461</v>
      </c>
      <c r="C34" s="20" t="s">
        <v>1490</v>
      </c>
      <c r="D34" s="20" t="s">
        <v>1524</v>
      </c>
      <c r="E34" s="20" t="s">
        <v>1525</v>
      </c>
      <c r="F34" s="20" t="s">
        <v>1523</v>
      </c>
      <c r="G34" s="20" t="s">
        <v>997</v>
      </c>
      <c r="H34" s="20" t="s">
        <v>1466</v>
      </c>
      <c r="I34" s="21" t="s">
        <v>1467</v>
      </c>
      <c r="J34" s="22" t="s">
        <v>33</v>
      </c>
      <c r="K34" s="23">
        <f>L34/1.22*1</f>
        <v>200.81967213114754</v>
      </c>
      <c r="L34" s="26">
        <v>245</v>
      </c>
      <c r="M34" s="25">
        <v>532.66</v>
      </c>
      <c r="N34" s="25">
        <f t="shared" si="0"/>
        <v>649.84519999999998</v>
      </c>
    </row>
    <row r="35" spans="2:14" ht="72" x14ac:dyDescent="0.35">
      <c r="B35" s="20" t="s">
        <v>1461</v>
      </c>
      <c r="C35" s="20" t="s">
        <v>1490</v>
      </c>
      <c r="D35" s="20" t="s">
        <v>1526</v>
      </c>
      <c r="E35" s="20" t="s">
        <v>1527</v>
      </c>
      <c r="F35" s="20" t="s">
        <v>1523</v>
      </c>
      <c r="G35" s="20" t="s">
        <v>997</v>
      </c>
      <c r="H35" s="20" t="s">
        <v>1466</v>
      </c>
      <c r="I35" s="21" t="s">
        <v>1467</v>
      </c>
      <c r="J35" s="22" t="s">
        <v>33</v>
      </c>
      <c r="K35" s="23">
        <f>L35/1.22*1</f>
        <v>218.03278688524591</v>
      </c>
      <c r="L35" s="26">
        <v>266</v>
      </c>
      <c r="M35" s="25">
        <v>555.61</v>
      </c>
      <c r="N35" s="25">
        <f t="shared" si="0"/>
        <v>677.8442</v>
      </c>
    </row>
    <row r="36" spans="2:14" ht="84" x14ac:dyDescent="0.35">
      <c r="B36" s="20" t="s">
        <v>1461</v>
      </c>
      <c r="C36" s="20" t="s">
        <v>1462</v>
      </c>
      <c r="D36" s="20" t="s">
        <v>1528</v>
      </c>
      <c r="E36" s="20" t="s">
        <v>1529</v>
      </c>
      <c r="F36" s="20" t="s">
        <v>1530</v>
      </c>
      <c r="G36" s="20" t="s">
        <v>997</v>
      </c>
      <c r="H36" s="20" t="s">
        <v>1466</v>
      </c>
      <c r="I36" s="21" t="s">
        <v>1467</v>
      </c>
      <c r="J36" s="22" t="s">
        <v>33</v>
      </c>
      <c r="K36" s="23">
        <f>L36/1.22*1</f>
        <v>621.31147540983613</v>
      </c>
      <c r="L36" s="26">
        <v>758</v>
      </c>
      <c r="M36" s="25">
        <v>573.64</v>
      </c>
      <c r="N36" s="25">
        <f t="shared" si="0"/>
        <v>699.84079999999994</v>
      </c>
    </row>
    <row r="37" spans="2:14" ht="84" x14ac:dyDescent="0.35">
      <c r="B37" s="20" t="s">
        <v>1461</v>
      </c>
      <c r="C37" s="20" t="s">
        <v>1462</v>
      </c>
      <c r="D37" s="20" t="s">
        <v>1531</v>
      </c>
      <c r="E37" s="20" t="s">
        <v>1532</v>
      </c>
      <c r="F37" s="20" t="s">
        <v>1530</v>
      </c>
      <c r="G37" s="20" t="s">
        <v>997</v>
      </c>
      <c r="H37" s="20" t="s">
        <v>1466</v>
      </c>
      <c r="I37" s="21" t="s">
        <v>1467</v>
      </c>
      <c r="J37" s="22" t="s">
        <v>33</v>
      </c>
      <c r="K37" s="23">
        <f>L37/1.22*1</f>
        <v>434.42622950819674</v>
      </c>
      <c r="L37" s="26">
        <v>530</v>
      </c>
      <c r="M37" s="25">
        <v>466.27</v>
      </c>
      <c r="N37" s="25">
        <f t="shared" si="0"/>
        <v>568.84939999999995</v>
      </c>
    </row>
    <row r="38" spans="2:14" ht="84" x14ac:dyDescent="0.35">
      <c r="B38" s="20" t="s">
        <v>1461</v>
      </c>
      <c r="C38" s="20" t="s">
        <v>1462</v>
      </c>
      <c r="D38" s="20" t="s">
        <v>1533</v>
      </c>
      <c r="E38" s="20" t="s">
        <v>1534</v>
      </c>
      <c r="F38" s="20" t="s">
        <v>1530</v>
      </c>
      <c r="G38" s="20" t="s">
        <v>997</v>
      </c>
      <c r="H38" s="20" t="s">
        <v>1466</v>
      </c>
      <c r="I38" s="21" t="s">
        <v>1467</v>
      </c>
      <c r="J38" s="22" t="s">
        <v>33</v>
      </c>
      <c r="K38" s="23">
        <f>L38/1.22*1</f>
        <v>289.34426229508199</v>
      </c>
      <c r="L38" s="26">
        <v>353</v>
      </c>
      <c r="M38" s="25">
        <v>439.22</v>
      </c>
      <c r="N38" s="25">
        <f t="shared" si="0"/>
        <v>535.84839999999997</v>
      </c>
    </row>
    <row r="39" spans="2:14" ht="84" x14ac:dyDescent="0.35">
      <c r="B39" s="20" t="s">
        <v>1461</v>
      </c>
      <c r="C39" s="20" t="s">
        <v>1462</v>
      </c>
      <c r="D39" s="20" t="s">
        <v>1535</v>
      </c>
      <c r="E39" s="20" t="s">
        <v>1536</v>
      </c>
      <c r="F39" s="20" t="s">
        <v>1530</v>
      </c>
      <c r="G39" s="20" t="s">
        <v>997</v>
      </c>
      <c r="H39" s="20" t="s">
        <v>1466</v>
      </c>
      <c r="I39" s="21" t="s">
        <v>1467</v>
      </c>
      <c r="J39" s="22" t="s">
        <v>33</v>
      </c>
      <c r="K39" s="23">
        <f>L39/1.22*1</f>
        <v>211.47540983606558</v>
      </c>
      <c r="L39" s="26">
        <v>258</v>
      </c>
      <c r="M39" s="25">
        <v>428.56</v>
      </c>
      <c r="N39" s="25">
        <f t="shared" si="0"/>
        <v>522.84320000000002</v>
      </c>
    </row>
    <row r="40" spans="2:14" ht="72" x14ac:dyDescent="0.35">
      <c r="B40" s="20" t="s">
        <v>1461</v>
      </c>
      <c r="C40" s="20" t="s">
        <v>1462</v>
      </c>
      <c r="D40" s="20" t="s">
        <v>1537</v>
      </c>
      <c r="E40" s="20" t="s">
        <v>1538</v>
      </c>
      <c r="F40" s="20" t="s">
        <v>1530</v>
      </c>
      <c r="G40" s="20" t="s">
        <v>997</v>
      </c>
      <c r="H40" s="20" t="s">
        <v>1466</v>
      </c>
      <c r="I40" s="21" t="s">
        <v>1467</v>
      </c>
      <c r="J40" s="22" t="s">
        <v>33</v>
      </c>
      <c r="K40" s="23">
        <f>L40/1.22*1</f>
        <v>149.18032786885246</v>
      </c>
      <c r="L40" s="26">
        <v>182</v>
      </c>
      <c r="M40" s="25">
        <v>487.58</v>
      </c>
      <c r="N40" s="25">
        <f t="shared" si="0"/>
        <v>594.84759999999994</v>
      </c>
    </row>
    <row r="41" spans="2:14" ht="84" x14ac:dyDescent="0.35">
      <c r="B41" s="20" t="s">
        <v>1461</v>
      </c>
      <c r="C41" s="20" t="s">
        <v>1462</v>
      </c>
      <c r="D41" s="20" t="s">
        <v>1539</v>
      </c>
      <c r="E41" s="20" t="s">
        <v>1540</v>
      </c>
      <c r="F41" s="20" t="s">
        <v>1530</v>
      </c>
      <c r="G41" s="20" t="s">
        <v>997</v>
      </c>
      <c r="H41" s="20" t="s">
        <v>1466</v>
      </c>
      <c r="I41" s="21" t="s">
        <v>1467</v>
      </c>
      <c r="J41" s="22" t="s">
        <v>33</v>
      </c>
      <c r="K41" s="23">
        <f>L41/1.22*1</f>
        <v>215.57377049180329</v>
      </c>
      <c r="L41" s="26">
        <v>263</v>
      </c>
      <c r="M41" s="25">
        <v>661.35</v>
      </c>
      <c r="N41" s="25">
        <f t="shared" si="0"/>
        <v>806.84699999999998</v>
      </c>
    </row>
    <row r="42" spans="2:14" ht="84" x14ac:dyDescent="0.35">
      <c r="B42" s="20" t="s">
        <v>1461</v>
      </c>
      <c r="C42" s="20" t="s">
        <v>1490</v>
      </c>
      <c r="D42" s="20" t="s">
        <v>1541</v>
      </c>
      <c r="E42" s="20" t="s">
        <v>1542</v>
      </c>
      <c r="F42" s="20" t="s">
        <v>1543</v>
      </c>
      <c r="G42" s="20" t="s">
        <v>997</v>
      </c>
      <c r="H42" s="20" t="s">
        <v>1466</v>
      </c>
      <c r="I42" s="21" t="s">
        <v>1467</v>
      </c>
      <c r="J42" s="22" t="s">
        <v>33</v>
      </c>
      <c r="K42" s="23">
        <f>L42/1.22*1</f>
        <v>236.0655737704918</v>
      </c>
      <c r="L42" s="26">
        <v>288</v>
      </c>
      <c r="M42" s="25">
        <v>385.12</v>
      </c>
      <c r="N42" s="25">
        <f t="shared" si="0"/>
        <v>469.84640000000002</v>
      </c>
    </row>
    <row r="43" spans="2:14" ht="72" x14ac:dyDescent="0.35">
      <c r="B43" s="20" t="s">
        <v>1461</v>
      </c>
      <c r="C43" s="20" t="s">
        <v>1490</v>
      </c>
      <c r="D43" s="20" t="s">
        <v>1544</v>
      </c>
      <c r="E43" s="20" t="s">
        <v>1545</v>
      </c>
      <c r="F43" s="20" t="s">
        <v>1543</v>
      </c>
      <c r="G43" s="20" t="s">
        <v>997</v>
      </c>
      <c r="H43" s="20" t="s">
        <v>1466</v>
      </c>
      <c r="I43" s="21" t="s">
        <v>1467</v>
      </c>
      <c r="J43" s="22" t="s">
        <v>33</v>
      </c>
      <c r="K43" s="23">
        <f>L43/1.22*1</f>
        <v>202.45901639344262</v>
      </c>
      <c r="L43" s="26">
        <v>247</v>
      </c>
      <c r="M43" s="25">
        <v>413.81</v>
      </c>
      <c r="N43" s="25">
        <f t="shared" si="0"/>
        <v>504.84820000000002</v>
      </c>
    </row>
    <row r="44" spans="2:14" ht="96" x14ac:dyDescent="0.35">
      <c r="B44" s="20" t="s">
        <v>1461</v>
      </c>
      <c r="C44" s="20" t="s">
        <v>1490</v>
      </c>
      <c r="D44" s="20" t="s">
        <v>1546</v>
      </c>
      <c r="E44" s="20" t="s">
        <v>1547</v>
      </c>
      <c r="F44" s="20" t="s">
        <v>1543</v>
      </c>
      <c r="G44" s="20" t="s">
        <v>997</v>
      </c>
      <c r="H44" s="20" t="s">
        <v>1466</v>
      </c>
      <c r="I44" s="21" t="s">
        <v>1467</v>
      </c>
      <c r="J44" s="22" t="s">
        <v>33</v>
      </c>
      <c r="K44" s="23">
        <f>L44/1.22*1</f>
        <v>231.14754098360658</v>
      </c>
      <c r="L44" s="26">
        <v>282</v>
      </c>
      <c r="M44" s="25">
        <v>404.79</v>
      </c>
      <c r="N44" s="25">
        <f t="shared" si="0"/>
        <v>493.84379999999999</v>
      </c>
    </row>
    <row r="45" spans="2:14" ht="84" x14ac:dyDescent="0.35">
      <c r="B45" s="20" t="s">
        <v>1461</v>
      </c>
      <c r="C45" s="20" t="s">
        <v>1490</v>
      </c>
      <c r="D45" s="20" t="s">
        <v>1548</v>
      </c>
      <c r="E45" s="20" t="s">
        <v>1549</v>
      </c>
      <c r="F45" s="20" t="s">
        <v>1550</v>
      </c>
      <c r="G45" s="20" t="s">
        <v>997</v>
      </c>
      <c r="H45" s="20" t="s">
        <v>1466</v>
      </c>
      <c r="I45" s="21" t="s">
        <v>1467</v>
      </c>
      <c r="J45" s="22" t="s">
        <v>33</v>
      </c>
      <c r="K45" s="23">
        <f>L45/1.22*1</f>
        <v>258.19672131147541</v>
      </c>
      <c r="L45" s="26">
        <v>315</v>
      </c>
      <c r="M45" s="25">
        <v>624.46</v>
      </c>
      <c r="N45" s="25">
        <f t="shared" si="0"/>
        <v>761.84120000000007</v>
      </c>
    </row>
    <row r="46" spans="2:14" ht="72" x14ac:dyDescent="0.35">
      <c r="B46" s="20" t="s">
        <v>1461</v>
      </c>
      <c r="C46" s="20" t="s">
        <v>1490</v>
      </c>
      <c r="D46" s="20" t="s">
        <v>1551</v>
      </c>
      <c r="E46" s="20" t="s">
        <v>1552</v>
      </c>
      <c r="F46" s="20" t="s">
        <v>1550</v>
      </c>
      <c r="G46" s="20" t="s">
        <v>997</v>
      </c>
      <c r="H46" s="20" t="s">
        <v>1466</v>
      </c>
      <c r="I46" s="21" t="s">
        <v>1467</v>
      </c>
      <c r="J46" s="22" t="s">
        <v>33</v>
      </c>
      <c r="K46" s="23">
        <f>L46/1.22*1</f>
        <v>217.21311475409837</v>
      </c>
      <c r="L46" s="26">
        <v>265</v>
      </c>
      <c r="M46" s="25">
        <v>624.46</v>
      </c>
      <c r="N46" s="25">
        <f t="shared" si="0"/>
        <v>761.84120000000007</v>
      </c>
    </row>
    <row r="47" spans="2:14" ht="84" x14ac:dyDescent="0.35">
      <c r="B47" s="20" t="s">
        <v>1461</v>
      </c>
      <c r="C47" s="20" t="s">
        <v>1490</v>
      </c>
      <c r="D47" s="20" t="s">
        <v>1553</v>
      </c>
      <c r="E47" s="20" t="s">
        <v>1554</v>
      </c>
      <c r="F47" s="20" t="s">
        <v>1550</v>
      </c>
      <c r="G47" s="20" t="s">
        <v>997</v>
      </c>
      <c r="H47" s="20" t="s">
        <v>1466</v>
      </c>
      <c r="I47" s="21" t="s">
        <v>1467</v>
      </c>
      <c r="J47" s="22" t="s">
        <v>33</v>
      </c>
      <c r="K47" s="23">
        <f>L47/1.22*1</f>
        <v>202.45901639344262</v>
      </c>
      <c r="L47" s="26">
        <v>247</v>
      </c>
      <c r="M47" s="25">
        <v>541.67999999999995</v>
      </c>
      <c r="N47" s="25">
        <f t="shared" si="0"/>
        <v>660.8495999999999</v>
      </c>
    </row>
    <row r="48" spans="2:14" ht="72" x14ac:dyDescent="0.35">
      <c r="B48" s="20" t="s">
        <v>1461</v>
      </c>
      <c r="C48" s="20" t="s">
        <v>1490</v>
      </c>
      <c r="D48" s="20" t="s">
        <v>1555</v>
      </c>
      <c r="E48" s="20" t="s">
        <v>1556</v>
      </c>
      <c r="F48" s="20" t="s">
        <v>1557</v>
      </c>
      <c r="G48" s="20" t="s">
        <v>997</v>
      </c>
      <c r="H48" s="20" t="s">
        <v>1466</v>
      </c>
      <c r="I48" s="21" t="s">
        <v>1467</v>
      </c>
      <c r="J48" s="22" t="s">
        <v>33</v>
      </c>
      <c r="K48" s="23">
        <f>L48/1.22*1</f>
        <v>215.57377049180329</v>
      </c>
      <c r="L48" s="26">
        <v>263</v>
      </c>
      <c r="M48" s="25">
        <v>602.33000000000004</v>
      </c>
      <c r="N48" s="25">
        <f t="shared" si="0"/>
        <v>734.84260000000006</v>
      </c>
    </row>
    <row r="49" spans="2:14" ht="72" x14ac:dyDescent="0.35">
      <c r="B49" s="20" t="s">
        <v>1461</v>
      </c>
      <c r="C49" s="20" t="s">
        <v>1462</v>
      </c>
      <c r="D49" s="20" t="s">
        <v>1558</v>
      </c>
      <c r="E49" s="20" t="s">
        <v>1559</v>
      </c>
      <c r="F49" s="20" t="s">
        <v>1560</v>
      </c>
      <c r="G49" s="20" t="s">
        <v>997</v>
      </c>
      <c r="H49" s="20" t="s">
        <v>1466</v>
      </c>
      <c r="I49" s="21" t="s">
        <v>1467</v>
      </c>
      <c r="J49" s="22" t="s">
        <v>33</v>
      </c>
      <c r="K49" s="23">
        <f>L49/1.22*1</f>
        <v>679.50819672131149</v>
      </c>
      <c r="L49" s="26">
        <v>829</v>
      </c>
      <c r="M49" s="25">
        <v>540.04</v>
      </c>
      <c r="N49" s="25">
        <f t="shared" si="0"/>
        <v>658.84879999999998</v>
      </c>
    </row>
    <row r="50" spans="2:14" ht="84" x14ac:dyDescent="0.35">
      <c r="B50" s="20" t="s">
        <v>1461</v>
      </c>
      <c r="C50" s="20" t="s">
        <v>1462</v>
      </c>
      <c r="D50" s="20" t="s">
        <v>1561</v>
      </c>
      <c r="E50" s="20" t="s">
        <v>1562</v>
      </c>
      <c r="F50" s="20" t="s">
        <v>1560</v>
      </c>
      <c r="G50" s="20" t="s">
        <v>997</v>
      </c>
      <c r="H50" s="20" t="s">
        <v>1466</v>
      </c>
      <c r="I50" s="21" t="s">
        <v>1467</v>
      </c>
      <c r="J50" s="22" t="s">
        <v>33</v>
      </c>
      <c r="K50" s="23">
        <f>L50/1.22*1</f>
        <v>413.93442622950823</v>
      </c>
      <c r="L50" s="26">
        <v>505</v>
      </c>
      <c r="M50" s="25">
        <v>487.58</v>
      </c>
      <c r="N50" s="25">
        <f t="shared" si="0"/>
        <v>594.84759999999994</v>
      </c>
    </row>
    <row r="51" spans="2:14" ht="84" x14ac:dyDescent="0.35">
      <c r="B51" s="20" t="s">
        <v>1461</v>
      </c>
      <c r="C51" s="20" t="s">
        <v>1462</v>
      </c>
      <c r="D51" s="20" t="s">
        <v>1563</v>
      </c>
      <c r="E51" s="20" t="s">
        <v>1564</v>
      </c>
      <c r="F51" s="20" t="s">
        <v>1560</v>
      </c>
      <c r="G51" s="20" t="s">
        <v>997</v>
      </c>
      <c r="H51" s="20" t="s">
        <v>1466</v>
      </c>
      <c r="I51" s="21" t="s">
        <v>1467</v>
      </c>
      <c r="J51" s="22" t="s">
        <v>33</v>
      </c>
      <c r="K51" s="23">
        <f>L51/1.22*1</f>
        <v>286.06557377049182</v>
      </c>
      <c r="L51" s="26">
        <v>349</v>
      </c>
      <c r="M51" s="25">
        <v>494.95</v>
      </c>
      <c r="N51" s="25">
        <f t="shared" si="0"/>
        <v>603.83899999999994</v>
      </c>
    </row>
    <row r="52" spans="2:14" ht="72" x14ac:dyDescent="0.35">
      <c r="B52" s="20" t="s">
        <v>1461</v>
      </c>
      <c r="C52" s="20" t="s">
        <v>1462</v>
      </c>
      <c r="D52" s="20" t="s">
        <v>1565</v>
      </c>
      <c r="E52" s="20" t="s">
        <v>1566</v>
      </c>
      <c r="F52" s="20" t="s">
        <v>1560</v>
      </c>
      <c r="G52" s="20" t="s">
        <v>997</v>
      </c>
      <c r="H52" s="20" t="s">
        <v>1466</v>
      </c>
      <c r="I52" s="21" t="s">
        <v>1467</v>
      </c>
      <c r="J52" s="22" t="s">
        <v>33</v>
      </c>
      <c r="K52" s="23">
        <f>L52/1.22*1</f>
        <v>153.27868852459017</v>
      </c>
      <c r="L52" s="26">
        <v>187</v>
      </c>
      <c r="M52" s="25">
        <v>509.71</v>
      </c>
      <c r="N52" s="25">
        <f t="shared" si="0"/>
        <v>621.84619999999995</v>
      </c>
    </row>
    <row r="53" spans="2:14" ht="72" x14ac:dyDescent="0.35">
      <c r="B53" s="20" t="s">
        <v>1461</v>
      </c>
      <c r="C53" s="20" t="s">
        <v>1462</v>
      </c>
      <c r="D53" s="20" t="s">
        <v>1567</v>
      </c>
      <c r="E53" s="20" t="s">
        <v>1568</v>
      </c>
      <c r="F53" s="20" t="s">
        <v>1569</v>
      </c>
      <c r="G53" s="20" t="s">
        <v>997</v>
      </c>
      <c r="H53" s="20" t="s">
        <v>1466</v>
      </c>
      <c r="I53" s="21" t="s">
        <v>1467</v>
      </c>
      <c r="J53" s="22" t="s">
        <v>33</v>
      </c>
      <c r="K53" s="23">
        <f>L53/1.22*1</f>
        <v>472.95081967213116</v>
      </c>
      <c r="L53" s="26">
        <v>577</v>
      </c>
      <c r="M53" s="25">
        <v>541.67999999999995</v>
      </c>
      <c r="N53" s="25">
        <f t="shared" si="0"/>
        <v>660.8495999999999</v>
      </c>
    </row>
    <row r="54" spans="2:14" ht="84" x14ac:dyDescent="0.35">
      <c r="B54" s="20" t="s">
        <v>1461</v>
      </c>
      <c r="C54" s="20" t="s">
        <v>1462</v>
      </c>
      <c r="D54" s="20" t="s">
        <v>1570</v>
      </c>
      <c r="E54" s="20" t="s">
        <v>1571</v>
      </c>
      <c r="F54" s="20" t="s">
        <v>1572</v>
      </c>
      <c r="G54" s="20" t="s">
        <v>997</v>
      </c>
      <c r="H54" s="20" t="s">
        <v>1466</v>
      </c>
      <c r="I54" s="21" t="s">
        <v>1467</v>
      </c>
      <c r="J54" s="22" t="s">
        <v>33</v>
      </c>
      <c r="K54" s="23">
        <f>L54/1.22*1</f>
        <v>781.96721311475414</v>
      </c>
      <c r="L54" s="26">
        <v>954</v>
      </c>
      <c r="M54" s="25">
        <v>485.12</v>
      </c>
      <c r="N54" s="25">
        <f t="shared" si="0"/>
        <v>591.84640000000002</v>
      </c>
    </row>
    <row r="55" spans="2:14" ht="72" x14ac:dyDescent="0.35">
      <c r="B55" s="20" t="s">
        <v>1461</v>
      </c>
      <c r="C55" s="20" t="s">
        <v>1462</v>
      </c>
      <c r="D55" s="20" t="s">
        <v>1573</v>
      </c>
      <c r="E55" s="20" t="s">
        <v>1574</v>
      </c>
      <c r="F55" s="20" t="s">
        <v>1572</v>
      </c>
      <c r="G55" s="20" t="s">
        <v>997</v>
      </c>
      <c r="H55" s="20" t="s">
        <v>1466</v>
      </c>
      <c r="I55" s="21" t="s">
        <v>1467</v>
      </c>
      <c r="J55" s="22" t="s">
        <v>33</v>
      </c>
      <c r="K55" s="23">
        <f>L55/1.22*1</f>
        <v>535.24590163934431</v>
      </c>
      <c r="L55" s="26">
        <v>653</v>
      </c>
      <c r="M55" s="25">
        <v>398.23</v>
      </c>
      <c r="N55" s="25">
        <f t="shared" si="0"/>
        <v>485.84059999999999</v>
      </c>
    </row>
    <row r="56" spans="2:14" ht="72" x14ac:dyDescent="0.35">
      <c r="B56" s="20" t="s">
        <v>1461</v>
      </c>
      <c r="C56" s="20" t="s">
        <v>1462</v>
      </c>
      <c r="D56" s="20" t="s">
        <v>1575</v>
      </c>
      <c r="E56" s="20" t="s">
        <v>1576</v>
      </c>
      <c r="F56" s="20" t="s">
        <v>1572</v>
      </c>
      <c r="G56" s="20" t="s">
        <v>997</v>
      </c>
      <c r="H56" s="20" t="s">
        <v>1466</v>
      </c>
      <c r="I56" s="21" t="s">
        <v>1467</v>
      </c>
      <c r="J56" s="22" t="s">
        <v>33</v>
      </c>
      <c r="K56" s="23">
        <f>L56/1.22*1</f>
        <v>286.06557377049182</v>
      </c>
      <c r="L56" s="26">
        <v>349</v>
      </c>
      <c r="M56" s="25">
        <v>522.82000000000005</v>
      </c>
      <c r="N56" s="25">
        <f t="shared" si="0"/>
        <v>637.84040000000005</v>
      </c>
    </row>
    <row r="57" spans="2:14" ht="72" x14ac:dyDescent="0.35">
      <c r="B57" s="20" t="s">
        <v>1461</v>
      </c>
      <c r="C57" s="20" t="s">
        <v>1462</v>
      </c>
      <c r="D57" s="20" t="s">
        <v>1577</v>
      </c>
      <c r="E57" s="20" t="s">
        <v>1578</v>
      </c>
      <c r="F57" s="20" t="s">
        <v>1572</v>
      </c>
      <c r="G57" s="20" t="s">
        <v>997</v>
      </c>
      <c r="H57" s="20" t="s">
        <v>1466</v>
      </c>
      <c r="I57" s="21" t="s">
        <v>1467</v>
      </c>
      <c r="J57" s="22" t="s">
        <v>33</v>
      </c>
      <c r="K57" s="23">
        <f>L57/1.22*1</f>
        <v>492.62295081967216</v>
      </c>
      <c r="L57" s="26">
        <v>601</v>
      </c>
      <c r="M57" s="25">
        <v>509.71</v>
      </c>
      <c r="N57" s="25">
        <f t="shared" si="0"/>
        <v>621.84619999999995</v>
      </c>
    </row>
    <row r="58" spans="2:14" ht="84" x14ac:dyDescent="0.35">
      <c r="B58" s="20" t="s">
        <v>1461</v>
      </c>
      <c r="C58" s="20" t="s">
        <v>1462</v>
      </c>
      <c r="D58" s="20" t="s">
        <v>1579</v>
      </c>
      <c r="E58" s="20" t="s">
        <v>1580</v>
      </c>
      <c r="F58" s="20" t="s">
        <v>1572</v>
      </c>
      <c r="G58" s="20" t="s">
        <v>997</v>
      </c>
      <c r="H58" s="20" t="s">
        <v>1466</v>
      </c>
      <c r="I58" s="21" t="s">
        <v>1467</v>
      </c>
      <c r="J58" s="22" t="s">
        <v>33</v>
      </c>
      <c r="K58" s="23">
        <f>L58/1.22*1</f>
        <v>413.93442622950823</v>
      </c>
      <c r="L58" s="26">
        <v>505</v>
      </c>
      <c r="M58" s="25">
        <v>540.86</v>
      </c>
      <c r="N58" s="25">
        <f t="shared" si="0"/>
        <v>659.8492</v>
      </c>
    </row>
    <row r="59" spans="2:14" ht="72" x14ac:dyDescent="0.35">
      <c r="B59" s="20" t="s">
        <v>1461</v>
      </c>
      <c r="C59" s="20" t="s">
        <v>1462</v>
      </c>
      <c r="D59" s="20" t="s">
        <v>1581</v>
      </c>
      <c r="E59" s="20" t="s">
        <v>1582</v>
      </c>
      <c r="F59" s="20" t="s">
        <v>1583</v>
      </c>
      <c r="G59" s="20" t="s">
        <v>997</v>
      </c>
      <c r="H59" s="20" t="s">
        <v>1466</v>
      </c>
      <c r="I59" s="21" t="s">
        <v>1467</v>
      </c>
      <c r="J59" s="22" t="s">
        <v>33</v>
      </c>
      <c r="K59" s="23">
        <f>L59/1.22*1</f>
        <v>331.96721311475409</v>
      </c>
      <c r="L59" s="26">
        <v>405</v>
      </c>
      <c r="M59" s="25">
        <v>591.67999999999995</v>
      </c>
      <c r="N59" s="25">
        <f t="shared" si="0"/>
        <v>721.8495999999999</v>
      </c>
    </row>
    <row r="60" spans="2:14" ht="72" x14ac:dyDescent="0.35">
      <c r="B60" s="20" t="s">
        <v>1461</v>
      </c>
      <c r="C60" s="20" t="s">
        <v>1462</v>
      </c>
      <c r="D60" s="20" t="s">
        <v>1584</v>
      </c>
      <c r="E60" s="20" t="s">
        <v>1585</v>
      </c>
      <c r="F60" s="20" t="s">
        <v>1583</v>
      </c>
      <c r="G60" s="20" t="s">
        <v>997</v>
      </c>
      <c r="H60" s="20" t="s">
        <v>1466</v>
      </c>
      <c r="I60" s="21" t="s">
        <v>1467</v>
      </c>
      <c r="J60" s="22" t="s">
        <v>33</v>
      </c>
      <c r="K60" s="23">
        <f>L60/1.22*1</f>
        <v>281.14754098360658</v>
      </c>
      <c r="L60" s="26">
        <v>343</v>
      </c>
      <c r="M60" s="25">
        <v>492.5</v>
      </c>
      <c r="N60" s="25">
        <f t="shared" si="0"/>
        <v>600.85</v>
      </c>
    </row>
    <row r="61" spans="2:14" ht="72" x14ac:dyDescent="0.35">
      <c r="B61" s="20" t="s">
        <v>1461</v>
      </c>
      <c r="C61" s="20" t="s">
        <v>1462</v>
      </c>
      <c r="D61" s="20" t="s">
        <v>1586</v>
      </c>
      <c r="E61" s="20" t="s">
        <v>1587</v>
      </c>
      <c r="F61" s="20" t="s">
        <v>1583</v>
      </c>
      <c r="G61" s="20" t="s">
        <v>997</v>
      </c>
      <c r="H61" s="20" t="s">
        <v>1466</v>
      </c>
      <c r="I61" s="21" t="s">
        <v>1467</v>
      </c>
      <c r="J61" s="22" t="s">
        <v>33</v>
      </c>
      <c r="K61" s="23">
        <f>L61/1.22*1</f>
        <v>228.68852459016395</v>
      </c>
      <c r="L61" s="26">
        <v>279</v>
      </c>
      <c r="M61" s="25">
        <v>496.59</v>
      </c>
      <c r="N61" s="25">
        <f t="shared" si="0"/>
        <v>605.83979999999997</v>
      </c>
    </row>
    <row r="62" spans="2:14" ht="84" x14ac:dyDescent="0.35">
      <c r="B62" s="20" t="s">
        <v>1461</v>
      </c>
      <c r="C62" s="20" t="s">
        <v>1462</v>
      </c>
      <c r="D62" s="20" t="s">
        <v>1586</v>
      </c>
      <c r="E62" s="20" t="s">
        <v>1588</v>
      </c>
      <c r="F62" s="20" t="s">
        <v>1583</v>
      </c>
      <c r="G62" s="20" t="s">
        <v>997</v>
      </c>
      <c r="H62" s="20" t="s">
        <v>1466</v>
      </c>
      <c r="I62" s="21" t="s">
        <v>1467</v>
      </c>
      <c r="J62" s="22" t="s">
        <v>33</v>
      </c>
      <c r="K62" s="23">
        <f>L62/1.22*1</f>
        <v>457.3770491803279</v>
      </c>
      <c r="L62" s="26">
        <v>558</v>
      </c>
      <c r="M62" s="25">
        <v>529.38</v>
      </c>
      <c r="N62" s="25">
        <f t="shared" si="0"/>
        <v>645.84359999999992</v>
      </c>
    </row>
    <row r="63" spans="2:14" ht="84" x14ac:dyDescent="0.35">
      <c r="B63" s="20" t="s">
        <v>1461</v>
      </c>
      <c r="C63" s="20" t="s">
        <v>1462</v>
      </c>
      <c r="D63" s="20" t="s">
        <v>1589</v>
      </c>
      <c r="E63" s="20" t="s">
        <v>1590</v>
      </c>
      <c r="F63" s="20" t="s">
        <v>1583</v>
      </c>
      <c r="G63" s="20" t="s">
        <v>997</v>
      </c>
      <c r="H63" s="20" t="s">
        <v>1466</v>
      </c>
      <c r="I63" s="21" t="s">
        <v>1467</v>
      </c>
      <c r="J63" s="22" t="s">
        <v>33</v>
      </c>
      <c r="K63" s="23">
        <f>L63/1.22*1</f>
        <v>113.9344262295082</v>
      </c>
      <c r="L63" s="26">
        <v>139</v>
      </c>
      <c r="M63" s="25">
        <v>632.66</v>
      </c>
      <c r="N63" s="25">
        <f t="shared" si="0"/>
        <v>771.84519999999998</v>
      </c>
    </row>
    <row r="64" spans="2:14" ht="72" x14ac:dyDescent="0.35">
      <c r="B64" s="20" t="s">
        <v>1461</v>
      </c>
      <c r="C64" s="20" t="s">
        <v>1462</v>
      </c>
      <c r="D64" s="20" t="s">
        <v>1591</v>
      </c>
      <c r="E64" s="20" t="s">
        <v>1592</v>
      </c>
      <c r="F64" s="20" t="s">
        <v>1583</v>
      </c>
      <c r="G64" s="20" t="s">
        <v>997</v>
      </c>
      <c r="H64" s="20" t="s">
        <v>1466</v>
      </c>
      <c r="I64" s="21" t="s">
        <v>1467</v>
      </c>
      <c r="J64" s="22" t="s">
        <v>33</v>
      </c>
      <c r="K64" s="23">
        <f>L64/1.22*1</f>
        <v>154.09836065573771</v>
      </c>
      <c r="L64" s="26">
        <v>188</v>
      </c>
      <c r="M64" s="25">
        <v>613.80999999999995</v>
      </c>
      <c r="N64" s="25">
        <f t="shared" si="0"/>
        <v>748.84819999999991</v>
      </c>
    </row>
    <row r="65" spans="2:14" ht="84" x14ac:dyDescent="0.35">
      <c r="B65" s="20" t="s">
        <v>1461</v>
      </c>
      <c r="C65" s="20" t="s">
        <v>1462</v>
      </c>
      <c r="D65" s="20" t="s">
        <v>1593</v>
      </c>
      <c r="E65" s="20" t="s">
        <v>1594</v>
      </c>
      <c r="F65" s="20" t="s">
        <v>1595</v>
      </c>
      <c r="G65" s="20" t="s">
        <v>997</v>
      </c>
      <c r="H65" s="20" t="s">
        <v>1466</v>
      </c>
      <c r="I65" s="21" t="s">
        <v>1467</v>
      </c>
      <c r="J65" s="22" t="s">
        <v>33</v>
      </c>
      <c r="K65" s="23">
        <f>L65/1.22*1</f>
        <v>998.36065573770497</v>
      </c>
      <c r="L65" s="26">
        <v>1218</v>
      </c>
      <c r="M65" s="25">
        <v>579.38</v>
      </c>
      <c r="N65" s="25">
        <f t="shared" si="0"/>
        <v>706.84359999999992</v>
      </c>
    </row>
    <row r="66" spans="2:14" ht="84" x14ac:dyDescent="0.35">
      <c r="B66" s="20" t="s">
        <v>1461</v>
      </c>
      <c r="C66" s="20" t="s">
        <v>1462</v>
      </c>
      <c r="D66" s="20" t="s">
        <v>1596</v>
      </c>
      <c r="E66" s="20" t="s">
        <v>1597</v>
      </c>
      <c r="F66" s="20" t="s">
        <v>1598</v>
      </c>
      <c r="G66" s="20" t="s">
        <v>997</v>
      </c>
      <c r="H66" s="20" t="s">
        <v>1466</v>
      </c>
      <c r="I66" s="21" t="s">
        <v>1467</v>
      </c>
      <c r="J66" s="22" t="s">
        <v>33</v>
      </c>
      <c r="K66" s="23">
        <f>L66/1.22*1</f>
        <v>966.39344262295083</v>
      </c>
      <c r="L66" s="26">
        <v>1179</v>
      </c>
      <c r="M66" s="25">
        <v>731.02</v>
      </c>
      <c r="N66" s="25">
        <f t="shared" si="0"/>
        <v>891.84439999999995</v>
      </c>
    </row>
    <row r="67" spans="2:14" ht="72" x14ac:dyDescent="0.35">
      <c r="B67" s="20" t="s">
        <v>1461</v>
      </c>
      <c r="C67" s="20" t="s">
        <v>1462</v>
      </c>
      <c r="D67" s="20" t="s">
        <v>1599</v>
      </c>
      <c r="E67" s="20" t="s">
        <v>1600</v>
      </c>
      <c r="F67" s="20" t="s">
        <v>1598</v>
      </c>
      <c r="G67" s="20" t="s">
        <v>997</v>
      </c>
      <c r="H67" s="20" t="s">
        <v>1466</v>
      </c>
      <c r="I67" s="21" t="s">
        <v>1467</v>
      </c>
      <c r="J67" s="22" t="s">
        <v>33</v>
      </c>
      <c r="K67" s="23">
        <f>L67/1.22*1</f>
        <v>869.67213114754099</v>
      </c>
      <c r="L67" s="26">
        <v>1061</v>
      </c>
      <c r="M67" s="25">
        <v>450.69</v>
      </c>
      <c r="N67" s="25">
        <f t="shared" si="0"/>
        <v>549.84180000000003</v>
      </c>
    </row>
    <row r="68" spans="2:14" ht="84" x14ac:dyDescent="0.35">
      <c r="B68" s="20" t="s">
        <v>1461</v>
      </c>
      <c r="C68" s="20" t="s">
        <v>1462</v>
      </c>
      <c r="D68" s="20" t="s">
        <v>1601</v>
      </c>
      <c r="E68" s="20" t="s">
        <v>1602</v>
      </c>
      <c r="F68" s="20" t="s">
        <v>1598</v>
      </c>
      <c r="G68" s="20" t="s">
        <v>997</v>
      </c>
      <c r="H68" s="20" t="s">
        <v>1466</v>
      </c>
      <c r="I68" s="21" t="s">
        <v>1467</v>
      </c>
      <c r="J68" s="22" t="s">
        <v>33</v>
      </c>
      <c r="K68" s="23">
        <f>L68/1.22*1</f>
        <v>632.78688524590166</v>
      </c>
      <c r="L68" s="26">
        <v>772</v>
      </c>
      <c r="M68" s="25">
        <v>438.4</v>
      </c>
      <c r="N68" s="25">
        <f t="shared" si="0"/>
        <v>534.84799999999996</v>
      </c>
    </row>
    <row r="69" spans="2:14" ht="72" x14ac:dyDescent="0.35">
      <c r="B69" s="20" t="s">
        <v>1461</v>
      </c>
      <c r="C69" s="20" t="s">
        <v>1462</v>
      </c>
      <c r="D69" s="20" t="s">
        <v>1603</v>
      </c>
      <c r="E69" s="20" t="s">
        <v>1604</v>
      </c>
      <c r="F69" s="20" t="s">
        <v>1598</v>
      </c>
      <c r="G69" s="20" t="s">
        <v>997</v>
      </c>
      <c r="H69" s="20" t="s">
        <v>1466</v>
      </c>
      <c r="I69" s="21" t="s">
        <v>1467</v>
      </c>
      <c r="J69" s="22" t="s">
        <v>33</v>
      </c>
      <c r="K69" s="23">
        <f>L69/1.22*1</f>
        <v>486.88524590163934</v>
      </c>
      <c r="L69" s="26">
        <v>594</v>
      </c>
      <c r="M69" s="25">
        <v>472</v>
      </c>
      <c r="N69" s="25">
        <f t="shared" si="0"/>
        <v>575.84</v>
      </c>
    </row>
    <row r="70" spans="2:14" ht="72" x14ac:dyDescent="0.35">
      <c r="B70" s="20" t="s">
        <v>1461</v>
      </c>
      <c r="C70" s="20" t="s">
        <v>1462</v>
      </c>
      <c r="D70" s="20" t="s">
        <v>1605</v>
      </c>
      <c r="E70" s="20" t="s">
        <v>1606</v>
      </c>
      <c r="F70" s="20" t="s">
        <v>1598</v>
      </c>
      <c r="G70" s="20" t="s">
        <v>997</v>
      </c>
      <c r="H70" s="20" t="s">
        <v>1466</v>
      </c>
      <c r="I70" s="21" t="s">
        <v>1467</v>
      </c>
      <c r="J70" s="22" t="s">
        <v>33</v>
      </c>
      <c r="K70" s="23">
        <f>L70/1.22*1</f>
        <v>1283.6065573770493</v>
      </c>
      <c r="L70" s="26">
        <v>1566</v>
      </c>
      <c r="M70" s="25">
        <v>558.89</v>
      </c>
      <c r="N70" s="25">
        <f t="shared" si="0"/>
        <v>681.84579999999994</v>
      </c>
    </row>
    <row r="71" spans="2:14" ht="96" x14ac:dyDescent="0.35">
      <c r="B71" s="20" t="s">
        <v>1461</v>
      </c>
      <c r="C71" s="20" t="s">
        <v>1462</v>
      </c>
      <c r="D71" s="20" t="s">
        <v>1607</v>
      </c>
      <c r="E71" s="20" t="s">
        <v>1608</v>
      </c>
      <c r="F71" s="20" t="s">
        <v>1598</v>
      </c>
      <c r="G71" s="20" t="s">
        <v>997</v>
      </c>
      <c r="H71" s="20" t="s">
        <v>1466</v>
      </c>
      <c r="I71" s="21" t="s">
        <v>1467</v>
      </c>
      <c r="J71" s="22" t="s">
        <v>33</v>
      </c>
      <c r="K71" s="23">
        <f>L71/1.22*1</f>
        <v>492.62295081967216</v>
      </c>
      <c r="L71" s="26">
        <v>601</v>
      </c>
      <c r="M71" s="25">
        <v>573.64</v>
      </c>
      <c r="N71" s="25">
        <f t="shared" si="0"/>
        <v>699.84079999999994</v>
      </c>
    </row>
    <row r="72" spans="2:14" ht="84" x14ac:dyDescent="0.35">
      <c r="B72" s="20" t="s">
        <v>1461</v>
      </c>
      <c r="C72" s="20" t="s">
        <v>1462</v>
      </c>
      <c r="D72" s="20" t="s">
        <v>1609</v>
      </c>
      <c r="E72" s="20" t="s">
        <v>1610</v>
      </c>
      <c r="F72" s="20" t="s">
        <v>1598</v>
      </c>
      <c r="G72" s="20" t="s">
        <v>997</v>
      </c>
      <c r="H72" s="20" t="s">
        <v>1466</v>
      </c>
      <c r="I72" s="21" t="s">
        <v>1467</v>
      </c>
      <c r="J72" s="22" t="s">
        <v>33</v>
      </c>
      <c r="K72" s="23">
        <f>L72/1.22*1</f>
        <v>313.11475409836066</v>
      </c>
      <c r="L72" s="26">
        <v>382</v>
      </c>
      <c r="M72" s="25">
        <v>532.66</v>
      </c>
      <c r="N72" s="25">
        <f t="shared" si="0"/>
        <v>649.84519999999998</v>
      </c>
    </row>
    <row r="73" spans="2:14" ht="72" x14ac:dyDescent="0.35">
      <c r="B73" s="20" t="s">
        <v>1461</v>
      </c>
      <c r="C73" s="20" t="s">
        <v>1462</v>
      </c>
      <c r="D73" s="20" t="s">
        <v>1611</v>
      </c>
      <c r="E73" s="20" t="s">
        <v>1612</v>
      </c>
      <c r="F73" s="20" t="s">
        <v>1598</v>
      </c>
      <c r="G73" s="20" t="s">
        <v>997</v>
      </c>
      <c r="H73" s="20" t="s">
        <v>1466</v>
      </c>
      <c r="I73" s="21" t="s">
        <v>1467</v>
      </c>
      <c r="J73" s="22" t="s">
        <v>33</v>
      </c>
      <c r="K73" s="23">
        <f>L73/1.22*1</f>
        <v>246.72131147540983</v>
      </c>
      <c r="L73" s="26">
        <v>301</v>
      </c>
      <c r="M73" s="25">
        <v>521.17999999999995</v>
      </c>
      <c r="N73" s="25">
        <f t="shared" si="0"/>
        <v>635.8395999999999</v>
      </c>
    </row>
    <row r="74" spans="2:14" ht="72" x14ac:dyDescent="0.35">
      <c r="B74" s="20" t="s">
        <v>1461</v>
      </c>
      <c r="C74" s="20" t="s">
        <v>1462</v>
      </c>
      <c r="D74" s="20" t="s">
        <v>1613</v>
      </c>
      <c r="E74" s="20" t="s">
        <v>1614</v>
      </c>
      <c r="F74" s="20" t="s">
        <v>1598</v>
      </c>
      <c r="G74" s="20" t="s">
        <v>997</v>
      </c>
      <c r="H74" s="20" t="s">
        <v>1466</v>
      </c>
      <c r="I74" s="21" t="s">
        <v>1467</v>
      </c>
      <c r="J74" s="22" t="s">
        <v>33</v>
      </c>
      <c r="K74" s="23">
        <f>L74/1.22*1</f>
        <v>162.29508196721312</v>
      </c>
      <c r="L74" s="26">
        <v>198</v>
      </c>
      <c r="M74" s="25">
        <v>517.91</v>
      </c>
      <c r="N74" s="25">
        <f t="shared" ref="N74:N137" si="1">M74*1.22</f>
        <v>631.85019999999997</v>
      </c>
    </row>
    <row r="75" spans="2:14" ht="84" x14ac:dyDescent="0.35">
      <c r="B75" s="20" t="s">
        <v>1461</v>
      </c>
      <c r="C75" s="20" t="s">
        <v>1462</v>
      </c>
      <c r="D75" s="20" t="s">
        <v>1615</v>
      </c>
      <c r="E75" s="20" t="s">
        <v>1616</v>
      </c>
      <c r="F75" s="20" t="s">
        <v>1598</v>
      </c>
      <c r="G75" s="20" t="s">
        <v>997</v>
      </c>
      <c r="H75" s="20" t="s">
        <v>1466</v>
      </c>
      <c r="I75" s="21" t="s">
        <v>1467</v>
      </c>
      <c r="J75" s="22" t="s">
        <v>33</v>
      </c>
      <c r="K75" s="23">
        <f>L75/1.22*1</f>
        <v>246.72131147540983</v>
      </c>
      <c r="L75" s="26">
        <v>301</v>
      </c>
      <c r="M75" s="25">
        <v>453.15</v>
      </c>
      <c r="N75" s="25">
        <f t="shared" si="1"/>
        <v>552.84299999999996</v>
      </c>
    </row>
    <row r="76" spans="2:14" ht="84" x14ac:dyDescent="0.35">
      <c r="B76" s="20" t="s">
        <v>1461</v>
      </c>
      <c r="C76" s="20" t="s">
        <v>1462</v>
      </c>
      <c r="D76" s="20" t="s">
        <v>1617</v>
      </c>
      <c r="E76" s="20" t="s">
        <v>1618</v>
      </c>
      <c r="F76" s="20" t="s">
        <v>1598</v>
      </c>
      <c r="G76" s="20" t="s">
        <v>997</v>
      </c>
      <c r="H76" s="20" t="s">
        <v>1466</v>
      </c>
      <c r="I76" s="21" t="s">
        <v>1467</v>
      </c>
      <c r="J76" s="22" t="s">
        <v>33</v>
      </c>
      <c r="K76" s="23">
        <f>L76/1.22*1</f>
        <v>252.45901639344262</v>
      </c>
      <c r="L76" s="26">
        <v>308</v>
      </c>
      <c r="M76" s="25">
        <v>378.56</v>
      </c>
      <c r="N76" s="25">
        <f t="shared" si="1"/>
        <v>461.84319999999997</v>
      </c>
    </row>
    <row r="77" spans="2:14" ht="72" x14ac:dyDescent="0.35">
      <c r="B77" s="20" t="s">
        <v>1461</v>
      </c>
      <c r="C77" s="20" t="s">
        <v>1462</v>
      </c>
      <c r="D77" s="20" t="s">
        <v>1619</v>
      </c>
      <c r="E77" s="20" t="s">
        <v>1620</v>
      </c>
      <c r="F77" s="20" t="s">
        <v>1598</v>
      </c>
      <c r="G77" s="20" t="s">
        <v>997</v>
      </c>
      <c r="H77" s="20" t="s">
        <v>1466</v>
      </c>
      <c r="I77" s="21" t="s">
        <v>1467</v>
      </c>
      <c r="J77" s="22" t="s">
        <v>33</v>
      </c>
      <c r="K77" s="23">
        <f>L77/1.22*1</f>
        <v>159.01639344262296</v>
      </c>
      <c r="L77" s="26">
        <v>194</v>
      </c>
      <c r="M77" s="25">
        <v>562.16999999999996</v>
      </c>
      <c r="N77" s="25">
        <f t="shared" si="1"/>
        <v>685.84739999999988</v>
      </c>
    </row>
    <row r="78" spans="2:14" ht="72" x14ac:dyDescent="0.35">
      <c r="B78" s="20" t="s">
        <v>1461</v>
      </c>
      <c r="C78" s="20" t="s">
        <v>1462</v>
      </c>
      <c r="D78" s="20" t="s">
        <v>1621</v>
      </c>
      <c r="E78" s="20" t="s">
        <v>1622</v>
      </c>
      <c r="F78" s="20" t="s">
        <v>1598</v>
      </c>
      <c r="G78" s="20" t="s">
        <v>997</v>
      </c>
      <c r="H78" s="20" t="s">
        <v>1466</v>
      </c>
      <c r="I78" s="21" t="s">
        <v>1467</v>
      </c>
      <c r="J78" s="22" t="s">
        <v>33</v>
      </c>
      <c r="K78" s="23">
        <f>L78/1.22*1</f>
        <v>154.09836065573771</v>
      </c>
      <c r="L78" s="26">
        <v>188</v>
      </c>
      <c r="M78" s="25">
        <v>376.1</v>
      </c>
      <c r="N78" s="25">
        <f t="shared" si="1"/>
        <v>458.84200000000004</v>
      </c>
    </row>
    <row r="79" spans="2:14" ht="72" x14ac:dyDescent="0.35">
      <c r="B79" s="20" t="s">
        <v>1461</v>
      </c>
      <c r="C79" s="20" t="s">
        <v>1462</v>
      </c>
      <c r="D79" s="20" t="s">
        <v>1621</v>
      </c>
      <c r="E79" s="20" t="s">
        <v>1623</v>
      </c>
      <c r="F79" s="20" t="s">
        <v>1598</v>
      </c>
      <c r="G79" s="20" t="s">
        <v>997</v>
      </c>
      <c r="H79" s="20" t="s">
        <v>1466</v>
      </c>
      <c r="I79" s="21" t="s">
        <v>1467</v>
      </c>
      <c r="J79" s="22" t="s">
        <v>33</v>
      </c>
      <c r="K79" s="23">
        <f>L79/1.22*1</f>
        <v>146.72131147540983</v>
      </c>
      <c r="L79" s="26">
        <v>179</v>
      </c>
      <c r="M79" s="25">
        <v>412.99</v>
      </c>
      <c r="N79" s="25">
        <f t="shared" si="1"/>
        <v>503.84780000000001</v>
      </c>
    </row>
    <row r="80" spans="2:14" ht="72" x14ac:dyDescent="0.35">
      <c r="B80" s="20" t="s">
        <v>1461</v>
      </c>
      <c r="C80" s="20" t="s">
        <v>1462</v>
      </c>
      <c r="D80" s="20" t="s">
        <v>1624</v>
      </c>
      <c r="E80" s="20" t="s">
        <v>1625</v>
      </c>
      <c r="F80" s="20" t="s">
        <v>1626</v>
      </c>
      <c r="G80" s="20" t="s">
        <v>997</v>
      </c>
      <c r="H80" s="20" t="s">
        <v>1466</v>
      </c>
      <c r="I80" s="21" t="s">
        <v>1467</v>
      </c>
      <c r="J80" s="22" t="s">
        <v>33</v>
      </c>
      <c r="K80" s="23">
        <f>L80/1.22*1</f>
        <v>240.98360655737704</v>
      </c>
      <c r="L80" s="26">
        <v>294</v>
      </c>
      <c r="M80" s="25">
        <v>382.66</v>
      </c>
      <c r="N80" s="25">
        <f t="shared" si="1"/>
        <v>466.84520000000003</v>
      </c>
    </row>
    <row r="81" spans="2:14" ht="84" x14ac:dyDescent="0.35">
      <c r="B81" s="20" t="s">
        <v>1461</v>
      </c>
      <c r="C81" s="20" t="s">
        <v>1462</v>
      </c>
      <c r="D81" s="20" t="s">
        <v>1627</v>
      </c>
      <c r="E81" s="20" t="s">
        <v>1628</v>
      </c>
      <c r="F81" s="20" t="s">
        <v>1626</v>
      </c>
      <c r="G81" s="20" t="s">
        <v>997</v>
      </c>
      <c r="H81" s="20" t="s">
        <v>1466</v>
      </c>
      <c r="I81" s="21" t="s">
        <v>1467</v>
      </c>
      <c r="J81" s="22" t="s">
        <v>33</v>
      </c>
      <c r="K81" s="23">
        <f>L81/1.22*1</f>
        <v>213.9344262295082</v>
      </c>
      <c r="L81" s="26">
        <v>261</v>
      </c>
      <c r="M81" s="25">
        <v>359.71</v>
      </c>
      <c r="N81" s="25">
        <f t="shared" si="1"/>
        <v>438.84619999999995</v>
      </c>
    </row>
    <row r="82" spans="2:14" ht="72" x14ac:dyDescent="0.35">
      <c r="B82" s="20" t="s">
        <v>1461</v>
      </c>
      <c r="C82" s="20" t="s">
        <v>1462</v>
      </c>
      <c r="D82" s="20" t="s">
        <v>1629</v>
      </c>
      <c r="E82" s="20" t="s">
        <v>1630</v>
      </c>
      <c r="F82" s="20" t="s">
        <v>1626</v>
      </c>
      <c r="G82" s="20" t="s">
        <v>997</v>
      </c>
      <c r="H82" s="20" t="s">
        <v>1466</v>
      </c>
      <c r="I82" s="21" t="s">
        <v>1467</v>
      </c>
      <c r="J82" s="22" t="s">
        <v>33</v>
      </c>
      <c r="K82" s="23">
        <f>L82/1.22*1</f>
        <v>215.57377049180329</v>
      </c>
      <c r="L82" s="26">
        <v>263</v>
      </c>
      <c r="M82" s="25">
        <v>488.4</v>
      </c>
      <c r="N82" s="25">
        <f t="shared" si="1"/>
        <v>595.84799999999996</v>
      </c>
    </row>
    <row r="83" spans="2:14" ht="72" x14ac:dyDescent="0.35">
      <c r="B83" s="20" t="s">
        <v>1461</v>
      </c>
      <c r="C83" s="20" t="s">
        <v>1462</v>
      </c>
      <c r="D83" s="20" t="s">
        <v>1624</v>
      </c>
      <c r="E83" s="20" t="s">
        <v>1631</v>
      </c>
      <c r="F83" s="20" t="s">
        <v>1626</v>
      </c>
      <c r="G83" s="20" t="s">
        <v>997</v>
      </c>
      <c r="H83" s="20" t="s">
        <v>1466</v>
      </c>
      <c r="I83" s="21" t="s">
        <v>1467</v>
      </c>
      <c r="J83" s="22" t="s">
        <v>33</v>
      </c>
      <c r="K83" s="23">
        <f>L83/1.22*1</f>
        <v>190.1639344262295</v>
      </c>
      <c r="L83" s="26">
        <v>232</v>
      </c>
      <c r="M83" s="25">
        <v>422</v>
      </c>
      <c r="N83" s="25">
        <f t="shared" si="1"/>
        <v>514.84</v>
      </c>
    </row>
    <row r="84" spans="2:14" ht="72" x14ac:dyDescent="0.35">
      <c r="B84" s="20" t="s">
        <v>1461</v>
      </c>
      <c r="C84" s="20" t="s">
        <v>1462</v>
      </c>
      <c r="D84" s="20" t="s">
        <v>1632</v>
      </c>
      <c r="E84" s="20" t="s">
        <v>1633</v>
      </c>
      <c r="F84" s="20" t="s">
        <v>1626</v>
      </c>
      <c r="G84" s="20" t="s">
        <v>997</v>
      </c>
      <c r="H84" s="20" t="s">
        <v>1466</v>
      </c>
      <c r="I84" s="21" t="s">
        <v>1467</v>
      </c>
      <c r="J84" s="22" t="s">
        <v>33</v>
      </c>
      <c r="K84" s="23">
        <f>L84/1.22*1</f>
        <v>309.8360655737705</v>
      </c>
      <c r="L84" s="26">
        <v>378</v>
      </c>
      <c r="M84" s="25">
        <v>281.83999999999997</v>
      </c>
      <c r="N84" s="25">
        <f t="shared" si="1"/>
        <v>343.84479999999996</v>
      </c>
    </row>
    <row r="85" spans="2:14" ht="72" x14ac:dyDescent="0.35">
      <c r="B85" s="20" t="s">
        <v>1461</v>
      </c>
      <c r="C85" s="20" t="s">
        <v>1462</v>
      </c>
      <c r="D85" s="20" t="s">
        <v>1634</v>
      </c>
      <c r="E85" s="20" t="s">
        <v>1635</v>
      </c>
      <c r="F85" s="20" t="s">
        <v>1636</v>
      </c>
      <c r="G85" s="20" t="s">
        <v>997</v>
      </c>
      <c r="H85" s="20" t="s">
        <v>1466</v>
      </c>
      <c r="I85" s="21" t="s">
        <v>1467</v>
      </c>
      <c r="J85" s="22" t="s">
        <v>33</v>
      </c>
      <c r="K85" s="23">
        <f>L85/1.22*1</f>
        <v>371.31147540983608</v>
      </c>
      <c r="L85" s="26">
        <v>453</v>
      </c>
      <c r="M85" s="25">
        <v>652.33000000000004</v>
      </c>
      <c r="N85" s="25">
        <f t="shared" si="1"/>
        <v>795.84260000000006</v>
      </c>
    </row>
    <row r="86" spans="2:14" ht="60" x14ac:dyDescent="0.35">
      <c r="B86" s="20" t="s">
        <v>1461</v>
      </c>
      <c r="C86" s="20" t="s">
        <v>1462</v>
      </c>
      <c r="D86" s="20" t="s">
        <v>1637</v>
      </c>
      <c r="E86" s="20" t="s">
        <v>1638</v>
      </c>
      <c r="F86" s="20" t="s">
        <v>1636</v>
      </c>
      <c r="G86" s="20" t="s">
        <v>997</v>
      </c>
      <c r="H86" s="20" t="s">
        <v>1466</v>
      </c>
      <c r="I86" s="21" t="s">
        <v>1467</v>
      </c>
      <c r="J86" s="22" t="s">
        <v>33</v>
      </c>
      <c r="K86" s="23">
        <f>L86/1.22*1</f>
        <v>299.18032786885249</v>
      </c>
      <c r="L86" s="26">
        <v>365</v>
      </c>
      <c r="M86" s="25">
        <v>348.23</v>
      </c>
      <c r="N86" s="25">
        <f t="shared" si="1"/>
        <v>424.84059999999999</v>
      </c>
    </row>
    <row r="87" spans="2:14" ht="60" x14ac:dyDescent="0.35">
      <c r="B87" s="20" t="s">
        <v>1461</v>
      </c>
      <c r="C87" s="20" t="s">
        <v>1462</v>
      </c>
      <c r="D87" s="20" t="s">
        <v>1639</v>
      </c>
      <c r="E87" s="20" t="s">
        <v>1640</v>
      </c>
      <c r="F87" s="20" t="s">
        <v>1636</v>
      </c>
      <c r="G87" s="20" t="s">
        <v>997</v>
      </c>
      <c r="H87" s="20" t="s">
        <v>1466</v>
      </c>
      <c r="I87" s="21" t="s">
        <v>1467</v>
      </c>
      <c r="J87" s="22" t="s">
        <v>33</v>
      </c>
      <c r="K87" s="23">
        <f>L87/1.22*1</f>
        <v>262.29508196721309</v>
      </c>
      <c r="L87" s="26">
        <v>320</v>
      </c>
      <c r="M87" s="25">
        <v>684.3</v>
      </c>
      <c r="N87" s="25">
        <f t="shared" si="1"/>
        <v>834.84599999999989</v>
      </c>
    </row>
    <row r="88" spans="2:14" ht="60" x14ac:dyDescent="0.35">
      <c r="B88" s="20" t="s">
        <v>1461</v>
      </c>
      <c r="C88" s="20" t="s">
        <v>1462</v>
      </c>
      <c r="D88" s="20" t="s">
        <v>1641</v>
      </c>
      <c r="E88" s="20" t="s">
        <v>1642</v>
      </c>
      <c r="F88" s="20" t="s">
        <v>1636</v>
      </c>
      <c r="G88" s="20" t="s">
        <v>997</v>
      </c>
      <c r="H88" s="20" t="s">
        <v>1466</v>
      </c>
      <c r="I88" s="21" t="s">
        <v>1467</v>
      </c>
      <c r="J88" s="22" t="s">
        <v>33</v>
      </c>
      <c r="K88" s="23">
        <f>L88/1.22*1</f>
        <v>105.73770491803279</v>
      </c>
      <c r="L88" s="26">
        <v>129</v>
      </c>
      <c r="M88" s="25">
        <v>949.05</v>
      </c>
      <c r="N88" s="25">
        <f t="shared" si="1"/>
        <v>1157.8409999999999</v>
      </c>
    </row>
    <row r="89" spans="2:14" ht="48" x14ac:dyDescent="0.35">
      <c r="B89" s="20" t="s">
        <v>1461</v>
      </c>
      <c r="C89" s="20" t="s">
        <v>1462</v>
      </c>
      <c r="D89" s="20" t="s">
        <v>1643</v>
      </c>
      <c r="E89" s="20" t="s">
        <v>1644</v>
      </c>
      <c r="F89" s="20" t="s">
        <v>1636</v>
      </c>
      <c r="G89" s="20" t="s">
        <v>997</v>
      </c>
      <c r="H89" s="20" t="s">
        <v>1466</v>
      </c>
      <c r="I89" s="21" t="s">
        <v>1467</v>
      </c>
      <c r="J89" s="22" t="s">
        <v>33</v>
      </c>
      <c r="K89" s="23">
        <f>L89/1.22*1</f>
        <v>127.04918032786885</v>
      </c>
      <c r="L89" s="26">
        <v>155</v>
      </c>
      <c r="M89" s="25">
        <v>508.07</v>
      </c>
      <c r="N89" s="25">
        <f t="shared" si="1"/>
        <v>619.84539999999993</v>
      </c>
    </row>
    <row r="90" spans="2:14" ht="60" x14ac:dyDescent="0.35">
      <c r="B90" s="20" t="s">
        <v>1461</v>
      </c>
      <c r="C90" s="20" t="s">
        <v>1490</v>
      </c>
      <c r="D90" s="20" t="s">
        <v>1645</v>
      </c>
      <c r="E90" s="20" t="s">
        <v>1646</v>
      </c>
      <c r="F90" s="20" t="s">
        <v>1647</v>
      </c>
      <c r="G90" s="20" t="s">
        <v>997</v>
      </c>
      <c r="H90" s="20" t="s">
        <v>1466</v>
      </c>
      <c r="I90" s="21" t="s">
        <v>1467</v>
      </c>
      <c r="J90" s="22" t="s">
        <v>33</v>
      </c>
      <c r="K90" s="23">
        <f>L90/1.22*1</f>
        <v>595.90163934426232</v>
      </c>
      <c r="L90" s="26">
        <v>727</v>
      </c>
      <c r="M90" s="25">
        <v>1031.02</v>
      </c>
      <c r="N90" s="25">
        <f t="shared" si="1"/>
        <v>1257.8444</v>
      </c>
    </row>
    <row r="91" spans="2:14" ht="36" x14ac:dyDescent="0.35">
      <c r="B91" s="20" t="s">
        <v>1461</v>
      </c>
      <c r="C91" s="20" t="s">
        <v>1462</v>
      </c>
      <c r="D91" s="20" t="s">
        <v>1648</v>
      </c>
      <c r="E91" s="20" t="s">
        <v>1649</v>
      </c>
      <c r="F91" s="20" t="s">
        <v>1650</v>
      </c>
      <c r="G91" s="20" t="s">
        <v>997</v>
      </c>
      <c r="H91" s="20" t="s">
        <v>1466</v>
      </c>
      <c r="I91" s="21" t="s">
        <v>1467</v>
      </c>
      <c r="J91" s="22" t="s">
        <v>33</v>
      </c>
      <c r="K91" s="23">
        <f>L91/1.22*1</f>
        <v>546.72131147540983</v>
      </c>
      <c r="L91" s="26">
        <v>667</v>
      </c>
      <c r="M91" s="25">
        <v>476.92</v>
      </c>
      <c r="N91" s="25">
        <f t="shared" si="1"/>
        <v>581.8424</v>
      </c>
    </row>
    <row r="92" spans="2:14" ht="36" x14ac:dyDescent="0.35">
      <c r="B92" s="20" t="s">
        <v>1461</v>
      </c>
      <c r="C92" s="20" t="s">
        <v>1462</v>
      </c>
      <c r="D92" s="20" t="s">
        <v>1651</v>
      </c>
      <c r="E92" s="20" t="s">
        <v>1652</v>
      </c>
      <c r="F92" s="20" t="s">
        <v>1650</v>
      </c>
      <c r="G92" s="20" t="s">
        <v>997</v>
      </c>
      <c r="H92" s="20" t="s">
        <v>1466</v>
      </c>
      <c r="I92" s="21" t="s">
        <v>1467</v>
      </c>
      <c r="J92" s="22" t="s">
        <v>33</v>
      </c>
      <c r="K92" s="23">
        <f>L92/1.22*1</f>
        <v>172.13114754098362</v>
      </c>
      <c r="L92" s="26">
        <v>210</v>
      </c>
      <c r="M92" s="25">
        <v>332.66</v>
      </c>
      <c r="N92" s="25">
        <f t="shared" si="1"/>
        <v>405.84520000000003</v>
      </c>
    </row>
    <row r="93" spans="2:14" ht="48" x14ac:dyDescent="0.35">
      <c r="B93" s="20" t="s">
        <v>1461</v>
      </c>
      <c r="C93" s="20" t="s">
        <v>1462</v>
      </c>
      <c r="D93" s="20" t="s">
        <v>1653</v>
      </c>
      <c r="E93" s="20" t="s">
        <v>1654</v>
      </c>
      <c r="F93" s="20" t="s">
        <v>1650</v>
      </c>
      <c r="G93" s="20" t="s">
        <v>997</v>
      </c>
      <c r="H93" s="20" t="s">
        <v>1466</v>
      </c>
      <c r="I93" s="21" t="s">
        <v>1467</v>
      </c>
      <c r="J93" s="22" t="s">
        <v>33</v>
      </c>
      <c r="K93" s="23">
        <f>L93/1.22*1</f>
        <v>151.63934426229508</v>
      </c>
      <c r="L93" s="26">
        <v>185</v>
      </c>
      <c r="M93" s="25">
        <v>375.28</v>
      </c>
      <c r="N93" s="25">
        <f t="shared" si="1"/>
        <v>457.84159999999997</v>
      </c>
    </row>
    <row r="94" spans="2:14" ht="48" x14ac:dyDescent="0.35">
      <c r="B94" s="20" t="s">
        <v>1461</v>
      </c>
      <c r="C94" s="20" t="s">
        <v>1462</v>
      </c>
      <c r="D94" s="20" t="s">
        <v>1655</v>
      </c>
      <c r="E94" s="20" t="s">
        <v>1656</v>
      </c>
      <c r="F94" s="20" t="s">
        <v>1650</v>
      </c>
      <c r="G94" s="20" t="s">
        <v>997</v>
      </c>
      <c r="H94" s="20" t="s">
        <v>1466</v>
      </c>
      <c r="I94" s="21" t="s">
        <v>1467</v>
      </c>
      <c r="J94" s="22" t="s">
        <v>33</v>
      </c>
      <c r="K94" s="23">
        <f>L94/1.22*1</f>
        <v>130.32786885245901</v>
      </c>
      <c r="L94" s="26">
        <v>159</v>
      </c>
      <c r="M94" s="25">
        <v>440.86</v>
      </c>
      <c r="N94" s="25">
        <f t="shared" si="1"/>
        <v>537.8492</v>
      </c>
    </row>
    <row r="95" spans="2:14" ht="36" x14ac:dyDescent="0.35">
      <c r="B95" s="20" t="s">
        <v>1461</v>
      </c>
      <c r="C95" s="20" t="s">
        <v>1462</v>
      </c>
      <c r="D95" s="20" t="s">
        <v>1657</v>
      </c>
      <c r="E95" s="20" t="s">
        <v>1658</v>
      </c>
      <c r="F95" s="20" t="s">
        <v>1650</v>
      </c>
      <c r="G95" s="20" t="s">
        <v>997</v>
      </c>
      <c r="H95" s="20" t="s">
        <v>1466</v>
      </c>
      <c r="I95" s="21" t="s">
        <v>1467</v>
      </c>
      <c r="J95" s="22" t="s">
        <v>33</v>
      </c>
      <c r="K95" s="23">
        <f>L95/1.22*1</f>
        <v>109.01639344262296</v>
      </c>
      <c r="L95" s="26">
        <v>133</v>
      </c>
      <c r="M95" s="25">
        <v>574.46</v>
      </c>
      <c r="N95" s="25">
        <f t="shared" si="1"/>
        <v>700.84120000000007</v>
      </c>
    </row>
    <row r="96" spans="2:14" ht="36" x14ac:dyDescent="0.35">
      <c r="B96" s="20" t="s">
        <v>1461</v>
      </c>
      <c r="C96" s="20" t="s">
        <v>1462</v>
      </c>
      <c r="D96" s="20" t="s">
        <v>1659</v>
      </c>
      <c r="E96" s="20" t="s">
        <v>1660</v>
      </c>
      <c r="F96" s="20" t="s">
        <v>1661</v>
      </c>
      <c r="G96" s="20" t="s">
        <v>997</v>
      </c>
      <c r="H96" s="20" t="s">
        <v>1466</v>
      </c>
      <c r="I96" s="21" t="s">
        <v>1467</v>
      </c>
      <c r="J96" s="22" t="s">
        <v>33</v>
      </c>
      <c r="K96" s="23">
        <f>L96/1.22*1</f>
        <v>427.04918032786884</v>
      </c>
      <c r="L96" s="26">
        <v>521</v>
      </c>
      <c r="M96" s="25">
        <v>485.94</v>
      </c>
      <c r="N96" s="25">
        <f t="shared" si="1"/>
        <v>592.84680000000003</v>
      </c>
    </row>
    <row r="97" spans="2:14" ht="36" x14ac:dyDescent="0.35">
      <c r="B97" s="20" t="s">
        <v>1461</v>
      </c>
      <c r="C97" s="20" t="s">
        <v>1490</v>
      </c>
      <c r="D97" s="20" t="s">
        <v>1662</v>
      </c>
      <c r="E97" s="20" t="s">
        <v>1663</v>
      </c>
      <c r="F97" s="20" t="s">
        <v>1664</v>
      </c>
      <c r="G97" s="20" t="s">
        <v>997</v>
      </c>
      <c r="H97" s="20" t="s">
        <v>1466</v>
      </c>
      <c r="I97" s="21" t="s">
        <v>1467</v>
      </c>
      <c r="J97" s="22" t="s">
        <v>33</v>
      </c>
      <c r="K97" s="23">
        <f>L97/1.22*1</f>
        <v>354.09836065573774</v>
      </c>
      <c r="L97" s="26">
        <v>432</v>
      </c>
      <c r="M97" s="25">
        <v>312.17</v>
      </c>
      <c r="N97" s="25">
        <f t="shared" si="1"/>
        <v>380.84739999999999</v>
      </c>
    </row>
    <row r="98" spans="2:14" ht="72" x14ac:dyDescent="0.35">
      <c r="B98" s="20" t="s">
        <v>1461</v>
      </c>
      <c r="C98" s="20" t="s">
        <v>1490</v>
      </c>
      <c r="D98" s="20" t="s">
        <v>1665</v>
      </c>
      <c r="E98" s="20" t="s">
        <v>1666</v>
      </c>
      <c r="F98" s="20" t="s">
        <v>1667</v>
      </c>
      <c r="G98" s="20" t="s">
        <v>997</v>
      </c>
      <c r="H98" s="20" t="s">
        <v>1466</v>
      </c>
      <c r="I98" s="21" t="s">
        <v>1467</v>
      </c>
      <c r="J98" s="22" t="s">
        <v>33</v>
      </c>
      <c r="K98" s="23">
        <f>L98/1.22*1</f>
        <v>161.47540983606558</v>
      </c>
      <c r="L98" s="26">
        <v>197</v>
      </c>
      <c r="M98" s="25">
        <v>967.91</v>
      </c>
      <c r="N98" s="25">
        <f t="shared" si="1"/>
        <v>1180.8501999999999</v>
      </c>
    </row>
    <row r="99" spans="2:14" ht="72" x14ac:dyDescent="0.35">
      <c r="B99" s="20" t="s">
        <v>1461</v>
      </c>
      <c r="C99" s="20" t="s">
        <v>1490</v>
      </c>
      <c r="D99" s="20" t="s">
        <v>1668</v>
      </c>
      <c r="E99" s="20" t="s">
        <v>1669</v>
      </c>
      <c r="F99" s="20" t="s">
        <v>1667</v>
      </c>
      <c r="G99" s="20" t="s">
        <v>997</v>
      </c>
      <c r="H99" s="20" t="s">
        <v>1466</v>
      </c>
      <c r="I99" s="21" t="s">
        <v>1467</v>
      </c>
      <c r="J99" s="22" t="s">
        <v>33</v>
      </c>
      <c r="K99" s="23">
        <f>L99/1.22*1</f>
        <v>161.47540983606558</v>
      </c>
      <c r="L99" s="26">
        <v>197</v>
      </c>
      <c r="M99" s="25">
        <v>945.77</v>
      </c>
      <c r="N99" s="25">
        <f t="shared" si="1"/>
        <v>1153.8393999999998</v>
      </c>
    </row>
    <row r="100" spans="2:14" ht="48" x14ac:dyDescent="0.35">
      <c r="B100" s="20" t="s">
        <v>1461</v>
      </c>
      <c r="C100" s="20" t="s">
        <v>1490</v>
      </c>
      <c r="D100" s="20" t="s">
        <v>1670</v>
      </c>
      <c r="E100" s="20" t="s">
        <v>1671</v>
      </c>
      <c r="F100" s="20" t="s">
        <v>1667</v>
      </c>
      <c r="G100" s="20" t="s">
        <v>997</v>
      </c>
      <c r="H100" s="20" t="s">
        <v>1466</v>
      </c>
      <c r="I100" s="21" t="s">
        <v>1467</v>
      </c>
      <c r="J100" s="22" t="s">
        <v>33</v>
      </c>
      <c r="K100" s="23">
        <f>L100/1.22*1</f>
        <v>162.29508196721312</v>
      </c>
      <c r="L100" s="26">
        <v>198</v>
      </c>
      <c r="M100" s="25">
        <v>1046.5899999999999</v>
      </c>
      <c r="N100" s="25">
        <f t="shared" si="1"/>
        <v>1276.8398</v>
      </c>
    </row>
    <row r="101" spans="2:14" ht="48" x14ac:dyDescent="0.35">
      <c r="B101" s="20" t="s">
        <v>1461</v>
      </c>
      <c r="C101" s="20" t="s">
        <v>1490</v>
      </c>
      <c r="D101" s="20" t="s">
        <v>1670</v>
      </c>
      <c r="E101" s="20" t="s">
        <v>1672</v>
      </c>
      <c r="F101" s="20" t="s">
        <v>1667</v>
      </c>
      <c r="G101" s="20" t="s">
        <v>997</v>
      </c>
      <c r="H101" s="20" t="s">
        <v>1466</v>
      </c>
      <c r="I101" s="21" t="s">
        <v>1467</v>
      </c>
      <c r="J101" s="22" t="s">
        <v>33</v>
      </c>
      <c r="K101" s="23">
        <f>L101/1.22*1</f>
        <v>203.27868852459017</v>
      </c>
      <c r="L101" s="26">
        <v>248</v>
      </c>
      <c r="M101" s="25">
        <v>917.09</v>
      </c>
      <c r="N101" s="25">
        <f t="shared" si="1"/>
        <v>1118.8498</v>
      </c>
    </row>
    <row r="102" spans="2:14" ht="48" x14ac:dyDescent="0.35">
      <c r="B102" s="20" t="s">
        <v>1461</v>
      </c>
      <c r="C102" s="20" t="s">
        <v>1490</v>
      </c>
      <c r="D102" s="20" t="s">
        <v>1673</v>
      </c>
      <c r="E102" s="20" t="s">
        <v>1674</v>
      </c>
      <c r="F102" s="20" t="s">
        <v>1667</v>
      </c>
      <c r="G102" s="20" t="s">
        <v>997</v>
      </c>
      <c r="H102" s="20" t="s">
        <v>1466</v>
      </c>
      <c r="I102" s="21" t="s">
        <v>1467</v>
      </c>
      <c r="J102" s="22" t="s">
        <v>33</v>
      </c>
      <c r="K102" s="23">
        <f>L102/1.22*1</f>
        <v>172.95081967213116</v>
      </c>
      <c r="L102" s="26">
        <v>211</v>
      </c>
      <c r="M102" s="25">
        <v>1007.25</v>
      </c>
      <c r="N102" s="25">
        <f t="shared" si="1"/>
        <v>1228.845</v>
      </c>
    </row>
    <row r="103" spans="2:14" ht="48" x14ac:dyDescent="0.35">
      <c r="B103" s="20" t="s">
        <v>1461</v>
      </c>
      <c r="C103" s="20" t="s">
        <v>1490</v>
      </c>
      <c r="D103" s="20" t="s">
        <v>1675</v>
      </c>
      <c r="E103" s="20" t="s">
        <v>1676</v>
      </c>
      <c r="F103" s="20" t="s">
        <v>1677</v>
      </c>
      <c r="G103" s="20" t="s">
        <v>997</v>
      </c>
      <c r="H103" s="20" t="s">
        <v>1466</v>
      </c>
      <c r="I103" s="21" t="s">
        <v>1678</v>
      </c>
      <c r="J103" s="22" t="s">
        <v>33</v>
      </c>
      <c r="K103" s="23">
        <f>L103/1.22*1</f>
        <v>199.18032786885246</v>
      </c>
      <c r="L103" s="26">
        <v>243</v>
      </c>
      <c r="M103" s="25">
        <v>535.94000000000005</v>
      </c>
      <c r="N103" s="25">
        <f t="shared" si="1"/>
        <v>653.84680000000003</v>
      </c>
    </row>
    <row r="104" spans="2:14" ht="48" x14ac:dyDescent="0.35">
      <c r="B104" s="20" t="s">
        <v>1461</v>
      </c>
      <c r="C104" s="20" t="s">
        <v>1490</v>
      </c>
      <c r="D104" s="20" t="s">
        <v>1675</v>
      </c>
      <c r="E104" s="20" t="s">
        <v>1679</v>
      </c>
      <c r="F104" s="20" t="s">
        <v>1677</v>
      </c>
      <c r="G104" s="20" t="s">
        <v>997</v>
      </c>
      <c r="H104" s="20" t="s">
        <v>1466</v>
      </c>
      <c r="I104" s="21" t="s">
        <v>1678</v>
      </c>
      <c r="J104" s="22" t="s">
        <v>33</v>
      </c>
      <c r="K104" s="23">
        <f>L104/1.22*1</f>
        <v>168.03278688524591</v>
      </c>
      <c r="L104" s="26">
        <v>205</v>
      </c>
      <c r="M104" s="25">
        <v>371.18</v>
      </c>
      <c r="N104" s="25">
        <f t="shared" si="1"/>
        <v>452.83960000000002</v>
      </c>
    </row>
    <row r="105" spans="2:14" ht="48" x14ac:dyDescent="0.35">
      <c r="B105" s="20" t="s">
        <v>1680</v>
      </c>
      <c r="C105" s="20" t="s">
        <v>1681</v>
      </c>
      <c r="D105" s="20" t="s">
        <v>1682</v>
      </c>
      <c r="E105" s="20" t="s">
        <v>1683</v>
      </c>
      <c r="F105" s="20" t="s">
        <v>1684</v>
      </c>
      <c r="G105" s="20" t="s">
        <v>997</v>
      </c>
      <c r="H105" s="20" t="s">
        <v>1685</v>
      </c>
      <c r="I105" s="21" t="s">
        <v>1678</v>
      </c>
      <c r="J105" s="22" t="s">
        <v>33</v>
      </c>
      <c r="K105" s="23">
        <f>L105/1.22*1</f>
        <v>1054.0983606557377</v>
      </c>
      <c r="L105" s="26">
        <v>1286</v>
      </c>
      <c r="M105" s="25">
        <v>476.92</v>
      </c>
      <c r="N105" s="25">
        <f t="shared" si="1"/>
        <v>581.8424</v>
      </c>
    </row>
    <row r="106" spans="2:14" ht="48" x14ac:dyDescent="0.35">
      <c r="B106" s="20" t="s">
        <v>1680</v>
      </c>
      <c r="C106" s="20" t="s">
        <v>1686</v>
      </c>
      <c r="D106" s="20" t="s">
        <v>1687</v>
      </c>
      <c r="E106" s="20" t="s">
        <v>1688</v>
      </c>
      <c r="F106" s="20" t="s">
        <v>1689</v>
      </c>
      <c r="G106" s="20" t="s">
        <v>997</v>
      </c>
      <c r="H106" s="20" t="s">
        <v>1690</v>
      </c>
      <c r="I106" s="21" t="s">
        <v>1678</v>
      </c>
      <c r="J106" s="22" t="s">
        <v>33</v>
      </c>
      <c r="K106" s="23">
        <f>L106/1.22*1</f>
        <v>853.27868852459017</v>
      </c>
      <c r="L106" s="26">
        <v>1041</v>
      </c>
      <c r="M106" s="25">
        <v>710.53</v>
      </c>
      <c r="N106" s="25">
        <f t="shared" si="1"/>
        <v>866.84659999999997</v>
      </c>
    </row>
    <row r="107" spans="2:14" ht="60" x14ac:dyDescent="0.35">
      <c r="B107" s="20" t="s">
        <v>1680</v>
      </c>
      <c r="C107" s="20" t="s">
        <v>1686</v>
      </c>
      <c r="D107" s="20" t="s">
        <v>1691</v>
      </c>
      <c r="E107" s="20" t="s">
        <v>1692</v>
      </c>
      <c r="F107" s="20" t="s">
        <v>1693</v>
      </c>
      <c r="G107" s="20" t="s">
        <v>997</v>
      </c>
      <c r="H107" s="20" t="s">
        <v>1694</v>
      </c>
      <c r="I107" s="21" t="s">
        <v>1678</v>
      </c>
      <c r="J107" s="22" t="s">
        <v>33</v>
      </c>
      <c r="K107" s="23">
        <f>L107/1.22*1</f>
        <v>161.47540983606558</v>
      </c>
      <c r="L107" s="26">
        <v>197</v>
      </c>
      <c r="M107" s="25">
        <v>340.86</v>
      </c>
      <c r="N107" s="25">
        <f t="shared" si="1"/>
        <v>415.8492</v>
      </c>
    </row>
    <row r="108" spans="2:14" ht="48" x14ac:dyDescent="0.35">
      <c r="B108" s="20" t="s">
        <v>1680</v>
      </c>
      <c r="C108" s="20" t="s">
        <v>1686</v>
      </c>
      <c r="D108" s="20" t="s">
        <v>1695</v>
      </c>
      <c r="E108" s="20" t="s">
        <v>1696</v>
      </c>
      <c r="F108" s="20" t="s">
        <v>1697</v>
      </c>
      <c r="G108" s="20" t="s">
        <v>997</v>
      </c>
      <c r="H108" s="20" t="s">
        <v>1698</v>
      </c>
      <c r="I108" s="21" t="s">
        <v>1678</v>
      </c>
      <c r="J108" s="22" t="s">
        <v>33</v>
      </c>
      <c r="K108" s="23">
        <f>L108/1.22*1</f>
        <v>25081.967213114756</v>
      </c>
      <c r="L108" s="26">
        <v>30600</v>
      </c>
      <c r="M108" s="25">
        <v>304.79000000000002</v>
      </c>
      <c r="N108" s="25">
        <f t="shared" si="1"/>
        <v>371.84380000000004</v>
      </c>
    </row>
    <row r="109" spans="2:14" ht="48" x14ac:dyDescent="0.35">
      <c r="B109" s="20" t="s">
        <v>1680</v>
      </c>
      <c r="C109" s="20" t="s">
        <v>1686</v>
      </c>
      <c r="D109" s="20" t="s">
        <v>1699</v>
      </c>
      <c r="E109" s="20" t="s">
        <v>1700</v>
      </c>
      <c r="F109" s="20" t="s">
        <v>1701</v>
      </c>
      <c r="G109" s="20" t="s">
        <v>997</v>
      </c>
      <c r="H109" s="20" t="s">
        <v>1702</v>
      </c>
      <c r="I109" s="21" t="s">
        <v>1678</v>
      </c>
      <c r="J109" s="22" t="s">
        <v>33</v>
      </c>
      <c r="K109" s="23">
        <f>L109/1.22*1</f>
        <v>1250</v>
      </c>
      <c r="L109" s="26">
        <v>1525</v>
      </c>
      <c r="M109" s="25">
        <v>554.79</v>
      </c>
      <c r="N109" s="25">
        <f t="shared" si="1"/>
        <v>676.84379999999999</v>
      </c>
    </row>
    <row r="110" spans="2:14" ht="60" x14ac:dyDescent="0.35">
      <c r="B110" s="20" t="s">
        <v>1680</v>
      </c>
      <c r="C110" s="20" t="s">
        <v>1681</v>
      </c>
      <c r="D110" s="20" t="s">
        <v>1703</v>
      </c>
      <c r="E110" s="20" t="s">
        <v>1704</v>
      </c>
      <c r="F110" s="20" t="s">
        <v>1705</v>
      </c>
      <c r="G110" s="20" t="s">
        <v>997</v>
      </c>
      <c r="H110" s="20" t="s">
        <v>1706</v>
      </c>
      <c r="I110" s="21" t="s">
        <v>1678</v>
      </c>
      <c r="J110" s="22" t="s">
        <v>33</v>
      </c>
      <c r="K110" s="23">
        <f>L110/1.22*1</f>
        <v>1755.7377049180329</v>
      </c>
      <c r="L110" s="26">
        <v>2142</v>
      </c>
      <c r="M110" s="25">
        <v>516.27</v>
      </c>
      <c r="N110" s="25">
        <f t="shared" si="1"/>
        <v>629.84939999999995</v>
      </c>
    </row>
    <row r="111" spans="2:14" ht="72" x14ac:dyDescent="0.35">
      <c r="B111" s="20" t="s">
        <v>1680</v>
      </c>
      <c r="C111" s="20" t="s">
        <v>1686</v>
      </c>
      <c r="D111" s="20" t="s">
        <v>1707</v>
      </c>
      <c r="E111" s="20" t="s">
        <v>1708</v>
      </c>
      <c r="F111" s="20" t="s">
        <v>1709</v>
      </c>
      <c r="G111" s="20" t="s">
        <v>997</v>
      </c>
      <c r="H111" s="20" t="s">
        <v>1710</v>
      </c>
      <c r="I111" s="21" t="s">
        <v>1678</v>
      </c>
      <c r="J111" s="22" t="s">
        <v>33</v>
      </c>
      <c r="K111" s="23">
        <f>L111/1.22*1</f>
        <v>4514.7540983606559</v>
      </c>
      <c r="L111" s="26">
        <v>5508</v>
      </c>
      <c r="M111" s="25">
        <v>617.09</v>
      </c>
      <c r="N111" s="25">
        <f t="shared" si="1"/>
        <v>752.84980000000007</v>
      </c>
    </row>
    <row r="112" spans="2:14" ht="48" x14ac:dyDescent="0.35">
      <c r="B112" s="20" t="s">
        <v>1680</v>
      </c>
      <c r="C112" s="20" t="s">
        <v>1686</v>
      </c>
      <c r="D112" s="20" t="s">
        <v>1711</v>
      </c>
      <c r="E112" s="20" t="s">
        <v>1712</v>
      </c>
      <c r="F112" s="20" t="s">
        <v>1713</v>
      </c>
      <c r="G112" s="20" t="s">
        <v>997</v>
      </c>
      <c r="H112" s="20" t="s">
        <v>1714</v>
      </c>
      <c r="I112" s="21" t="s">
        <v>1678</v>
      </c>
      <c r="J112" s="22" t="s">
        <v>33</v>
      </c>
      <c r="K112" s="23">
        <f>L112/1.22*1</f>
        <v>86.06557377049181</v>
      </c>
      <c r="L112" s="26">
        <v>105</v>
      </c>
      <c r="M112" s="25">
        <v>375.28</v>
      </c>
      <c r="N112" s="25">
        <f t="shared" si="1"/>
        <v>457.84159999999997</v>
      </c>
    </row>
    <row r="113" spans="2:14" ht="48" x14ac:dyDescent="0.35">
      <c r="B113" s="20" t="s">
        <v>1680</v>
      </c>
      <c r="C113" s="20" t="s">
        <v>1686</v>
      </c>
      <c r="D113" s="20" t="s">
        <v>1715</v>
      </c>
      <c r="E113" s="20" t="s">
        <v>1716</v>
      </c>
      <c r="F113" s="20" t="s">
        <v>1717</v>
      </c>
      <c r="G113" s="20" t="s">
        <v>997</v>
      </c>
      <c r="H113" s="20" t="s">
        <v>1718</v>
      </c>
      <c r="I113" s="21" t="s">
        <v>1678</v>
      </c>
      <c r="J113" s="22" t="s">
        <v>33</v>
      </c>
      <c r="K113" s="23">
        <f>L113/1.22*1</f>
        <v>57.377049180327873</v>
      </c>
      <c r="L113" s="26">
        <v>70</v>
      </c>
      <c r="M113" s="25">
        <v>453.15</v>
      </c>
      <c r="N113" s="25">
        <f t="shared" si="1"/>
        <v>552.84299999999996</v>
      </c>
    </row>
    <row r="114" spans="2:14" ht="60" x14ac:dyDescent="0.35">
      <c r="B114" s="20" t="s">
        <v>1680</v>
      </c>
      <c r="C114" s="20" t="s">
        <v>1686</v>
      </c>
      <c r="D114" s="20" t="s">
        <v>1719</v>
      </c>
      <c r="E114" s="20" t="s">
        <v>1720</v>
      </c>
      <c r="F114" s="20" t="s">
        <v>1721</v>
      </c>
      <c r="G114" s="20" t="s">
        <v>997</v>
      </c>
      <c r="H114" s="20" t="s">
        <v>1722</v>
      </c>
      <c r="I114" s="21" t="s">
        <v>1678</v>
      </c>
      <c r="J114" s="22" t="s">
        <v>33</v>
      </c>
      <c r="K114" s="23">
        <f>L114/1.22*1</f>
        <v>161.47540983606558</v>
      </c>
      <c r="L114" s="26">
        <v>197</v>
      </c>
      <c r="M114" s="25">
        <v>718.72</v>
      </c>
      <c r="N114" s="25">
        <f t="shared" si="1"/>
        <v>876.83839999999998</v>
      </c>
    </row>
    <row r="115" spans="2:14" ht="60" x14ac:dyDescent="0.35">
      <c r="B115" s="20" t="s">
        <v>1680</v>
      </c>
      <c r="C115" s="20" t="s">
        <v>1686</v>
      </c>
      <c r="D115" s="20" t="s">
        <v>1723</v>
      </c>
      <c r="E115" s="20" t="s">
        <v>1724</v>
      </c>
      <c r="F115" s="20" t="s">
        <v>1725</v>
      </c>
      <c r="G115" s="20" t="s">
        <v>997</v>
      </c>
      <c r="H115" s="20" t="s">
        <v>1726</v>
      </c>
      <c r="I115" s="21" t="s">
        <v>1678</v>
      </c>
      <c r="J115" s="22" t="s">
        <v>33</v>
      </c>
      <c r="K115" s="23">
        <f>L115/1.22*1</f>
        <v>342.62295081967216</v>
      </c>
      <c r="L115" s="26">
        <v>418</v>
      </c>
      <c r="M115" s="25">
        <v>609.71</v>
      </c>
      <c r="N115" s="25">
        <f t="shared" si="1"/>
        <v>743.84620000000007</v>
      </c>
    </row>
    <row r="116" spans="2:14" ht="48" x14ac:dyDescent="0.35">
      <c r="B116" s="20" t="s">
        <v>1680</v>
      </c>
      <c r="C116" s="20" t="s">
        <v>1686</v>
      </c>
      <c r="D116" s="20" t="s">
        <v>1727</v>
      </c>
      <c r="E116" s="20" t="s">
        <v>1728</v>
      </c>
      <c r="F116" s="20" t="s">
        <v>1729</v>
      </c>
      <c r="G116" s="20" t="s">
        <v>997</v>
      </c>
      <c r="H116" s="20" t="s">
        <v>1730</v>
      </c>
      <c r="I116" s="21" t="s">
        <v>1678</v>
      </c>
      <c r="J116" s="22" t="s">
        <v>33</v>
      </c>
      <c r="K116" s="23">
        <f>L116/1.22*1</f>
        <v>777.04918032786884</v>
      </c>
      <c r="L116" s="26">
        <v>948</v>
      </c>
      <c r="M116" s="25">
        <v>409.71</v>
      </c>
      <c r="N116" s="25">
        <f t="shared" si="1"/>
        <v>499.84619999999995</v>
      </c>
    </row>
    <row r="117" spans="2:14" ht="60" x14ac:dyDescent="0.35">
      <c r="B117" s="20" t="s">
        <v>1680</v>
      </c>
      <c r="C117" s="20" t="s">
        <v>1686</v>
      </c>
      <c r="D117" s="20" t="s">
        <v>1731</v>
      </c>
      <c r="E117" s="20" t="s">
        <v>1732</v>
      </c>
      <c r="F117" s="20" t="s">
        <v>1733</v>
      </c>
      <c r="G117" s="20" t="s">
        <v>997</v>
      </c>
      <c r="H117" s="20" t="s">
        <v>1734</v>
      </c>
      <c r="I117" s="21" t="s">
        <v>1678</v>
      </c>
      <c r="J117" s="22" t="s">
        <v>33</v>
      </c>
      <c r="K117" s="23">
        <f>L117/1.22*1</f>
        <v>281.14754098360658</v>
      </c>
      <c r="L117" s="26">
        <v>343</v>
      </c>
      <c r="M117" s="25">
        <v>667.09</v>
      </c>
      <c r="N117" s="25">
        <f t="shared" si="1"/>
        <v>813.84980000000007</v>
      </c>
    </row>
    <row r="118" spans="2:14" ht="48" x14ac:dyDescent="0.35">
      <c r="B118" s="20" t="s">
        <v>1680</v>
      </c>
      <c r="C118" s="20" t="s">
        <v>1686</v>
      </c>
      <c r="D118" s="20" t="s">
        <v>1735</v>
      </c>
      <c r="E118" s="20" t="s">
        <v>1736</v>
      </c>
      <c r="F118" s="20" t="s">
        <v>1737</v>
      </c>
      <c r="G118" s="20" t="s">
        <v>997</v>
      </c>
      <c r="H118" s="20" t="s">
        <v>1738</v>
      </c>
      <c r="I118" s="21" t="s">
        <v>1678</v>
      </c>
      <c r="J118" s="22" t="s">
        <v>33</v>
      </c>
      <c r="K118" s="23">
        <f>L118/1.22*1</f>
        <v>171.31147540983608</v>
      </c>
      <c r="L118" s="26">
        <v>209</v>
      </c>
      <c r="M118" s="25">
        <v>353.97</v>
      </c>
      <c r="N118" s="25">
        <f t="shared" si="1"/>
        <v>431.84340000000003</v>
      </c>
    </row>
    <row r="119" spans="2:14" ht="48" x14ac:dyDescent="0.35">
      <c r="B119" s="20" t="s">
        <v>1680</v>
      </c>
      <c r="C119" s="20" t="s">
        <v>1686</v>
      </c>
      <c r="D119" s="20" t="s">
        <v>1739</v>
      </c>
      <c r="E119" s="20" t="s">
        <v>1740</v>
      </c>
      <c r="F119" s="20" t="s">
        <v>1741</v>
      </c>
      <c r="G119" s="20" t="s">
        <v>997</v>
      </c>
      <c r="H119" s="20" t="s">
        <v>1742</v>
      </c>
      <c r="I119" s="21" t="s">
        <v>1678</v>
      </c>
      <c r="J119" s="22" t="s">
        <v>33</v>
      </c>
      <c r="K119" s="23">
        <f>L119/1.22*1</f>
        <v>1755.7377049180329</v>
      </c>
      <c r="L119" s="26">
        <v>2142</v>
      </c>
      <c r="M119" s="25">
        <v>408.89</v>
      </c>
      <c r="N119" s="25">
        <f t="shared" si="1"/>
        <v>498.8458</v>
      </c>
    </row>
    <row r="120" spans="2:14" ht="72" x14ac:dyDescent="0.35">
      <c r="B120" s="20" t="s">
        <v>1680</v>
      </c>
      <c r="C120" s="20" t="s">
        <v>1686</v>
      </c>
      <c r="D120" s="20" t="s">
        <v>1743</v>
      </c>
      <c r="E120" s="20" t="s">
        <v>1744</v>
      </c>
      <c r="F120" s="20" t="s">
        <v>1745</v>
      </c>
      <c r="G120" s="20" t="s">
        <v>997</v>
      </c>
      <c r="H120" s="20" t="s">
        <v>1746</v>
      </c>
      <c r="I120" s="21" t="s">
        <v>1678</v>
      </c>
      <c r="J120" s="22" t="s">
        <v>33</v>
      </c>
      <c r="K120" s="23">
        <f>L120/1.22*1</f>
        <v>481.96721311475409</v>
      </c>
      <c r="L120" s="26">
        <v>588</v>
      </c>
      <c r="M120" s="25">
        <v>375.28</v>
      </c>
      <c r="N120" s="25">
        <f t="shared" si="1"/>
        <v>457.84159999999997</v>
      </c>
    </row>
    <row r="121" spans="2:14" ht="36" x14ac:dyDescent="0.35">
      <c r="B121" s="20" t="s">
        <v>1680</v>
      </c>
      <c r="C121" s="20" t="s">
        <v>1686</v>
      </c>
      <c r="D121" s="20" t="s">
        <v>1747</v>
      </c>
      <c r="E121" s="20" t="s">
        <v>1748</v>
      </c>
      <c r="F121" s="20" t="s">
        <v>1749</v>
      </c>
      <c r="G121" s="20" t="s">
        <v>997</v>
      </c>
      <c r="H121" s="20" t="s">
        <v>1750</v>
      </c>
      <c r="I121" s="21" t="s">
        <v>1678</v>
      </c>
      <c r="J121" s="22" t="s">
        <v>33</v>
      </c>
      <c r="K121" s="23">
        <f>L121/1.22*1</f>
        <v>522.95081967213116</v>
      </c>
      <c r="L121" s="26">
        <v>638</v>
      </c>
      <c r="M121" s="25">
        <v>550.69000000000005</v>
      </c>
      <c r="N121" s="25">
        <f t="shared" si="1"/>
        <v>671.84180000000003</v>
      </c>
    </row>
    <row r="122" spans="2:14" ht="36" x14ac:dyDescent="0.35">
      <c r="B122" s="20" t="s">
        <v>1680</v>
      </c>
      <c r="C122" s="20" t="s">
        <v>1686</v>
      </c>
      <c r="D122" s="20" t="s">
        <v>1751</v>
      </c>
      <c r="E122" s="20" t="s">
        <v>1752</v>
      </c>
      <c r="F122" s="20" t="s">
        <v>1753</v>
      </c>
      <c r="G122" s="20" t="s">
        <v>997</v>
      </c>
      <c r="H122" s="20" t="s">
        <v>1754</v>
      </c>
      <c r="I122" s="21" t="s">
        <v>1678</v>
      </c>
      <c r="J122" s="22" t="s">
        <v>33</v>
      </c>
      <c r="K122" s="23">
        <f>L122/1.22*1</f>
        <v>82.786885245901644</v>
      </c>
      <c r="L122" s="26">
        <v>101</v>
      </c>
      <c r="M122" s="25">
        <v>399.05</v>
      </c>
      <c r="N122" s="25">
        <f t="shared" si="1"/>
        <v>486.84100000000001</v>
      </c>
    </row>
    <row r="123" spans="2:14" ht="36" x14ac:dyDescent="0.35">
      <c r="B123" s="20" t="s">
        <v>1680</v>
      </c>
      <c r="C123" s="20" t="s">
        <v>1681</v>
      </c>
      <c r="D123" s="20" t="s">
        <v>1755</v>
      </c>
      <c r="E123" s="20" t="s">
        <v>1756</v>
      </c>
      <c r="F123" s="20" t="s">
        <v>1757</v>
      </c>
      <c r="G123" s="20" t="s">
        <v>997</v>
      </c>
      <c r="H123" s="20" t="s">
        <v>1758</v>
      </c>
      <c r="I123" s="21" t="s">
        <v>1678</v>
      </c>
      <c r="J123" s="22" t="s">
        <v>33</v>
      </c>
      <c r="K123" s="23">
        <f>L123/1.22*1</f>
        <v>1104.0983606557377</v>
      </c>
      <c r="L123" s="26">
        <v>1347</v>
      </c>
      <c r="M123" s="25">
        <v>390.86</v>
      </c>
      <c r="N123" s="25">
        <f t="shared" si="1"/>
        <v>476.8492</v>
      </c>
    </row>
    <row r="124" spans="2:14" ht="36" x14ac:dyDescent="0.35">
      <c r="B124" s="20" t="s">
        <v>1680</v>
      </c>
      <c r="C124" s="20" t="s">
        <v>1681</v>
      </c>
      <c r="D124" s="20" t="s">
        <v>1759</v>
      </c>
      <c r="E124" s="20" t="s">
        <v>1760</v>
      </c>
      <c r="F124" s="20" t="s">
        <v>1761</v>
      </c>
      <c r="G124" s="20" t="s">
        <v>997</v>
      </c>
      <c r="H124" s="20" t="s">
        <v>1762</v>
      </c>
      <c r="I124" s="21" t="s">
        <v>1678</v>
      </c>
      <c r="J124" s="22" t="s">
        <v>33</v>
      </c>
      <c r="K124" s="23">
        <f>L124/1.22*1</f>
        <v>286.88524590163934</v>
      </c>
      <c r="L124" s="26">
        <v>350</v>
      </c>
      <c r="M124" s="25">
        <v>406.43</v>
      </c>
      <c r="N124" s="25">
        <f t="shared" si="1"/>
        <v>495.84460000000001</v>
      </c>
    </row>
    <row r="125" spans="2:14" ht="36" x14ac:dyDescent="0.35">
      <c r="B125" s="20" t="s">
        <v>1680</v>
      </c>
      <c r="C125" s="20" t="s">
        <v>1681</v>
      </c>
      <c r="D125" s="20" t="s">
        <v>1555</v>
      </c>
      <c r="E125" s="20" t="s">
        <v>1763</v>
      </c>
      <c r="F125" s="20" t="s">
        <v>1764</v>
      </c>
      <c r="G125" s="20" t="s">
        <v>997</v>
      </c>
      <c r="H125" s="20" t="s">
        <v>1765</v>
      </c>
      <c r="I125" s="21" t="s">
        <v>1678</v>
      </c>
      <c r="J125" s="22" t="s">
        <v>33</v>
      </c>
      <c r="K125" s="23">
        <f>L125/1.22*1</f>
        <v>231.14754098360658</v>
      </c>
      <c r="L125" s="26">
        <v>282</v>
      </c>
      <c r="M125" s="25">
        <v>323.64</v>
      </c>
      <c r="N125" s="25">
        <f t="shared" si="1"/>
        <v>394.8408</v>
      </c>
    </row>
    <row r="126" spans="2:14" ht="48" x14ac:dyDescent="0.35">
      <c r="B126" s="20" t="s">
        <v>1680</v>
      </c>
      <c r="C126" s="20" t="s">
        <v>1681</v>
      </c>
      <c r="D126" s="20" t="s">
        <v>1766</v>
      </c>
      <c r="E126" s="20" t="s">
        <v>1767</v>
      </c>
      <c r="F126" s="20" t="s">
        <v>1768</v>
      </c>
      <c r="G126" s="20" t="s">
        <v>997</v>
      </c>
      <c r="H126" s="20" t="s">
        <v>1769</v>
      </c>
      <c r="I126" s="21" t="s">
        <v>1678</v>
      </c>
      <c r="J126" s="22" t="s">
        <v>33</v>
      </c>
      <c r="K126" s="23">
        <f>L126/1.22*1</f>
        <v>372.13114754098359</v>
      </c>
      <c r="L126" s="26">
        <v>454</v>
      </c>
      <c r="M126" s="25">
        <v>310.52999999999997</v>
      </c>
      <c r="N126" s="25">
        <f t="shared" si="1"/>
        <v>378.84659999999997</v>
      </c>
    </row>
    <row r="127" spans="2:14" ht="36" x14ac:dyDescent="0.35">
      <c r="B127" s="20" t="s">
        <v>1680</v>
      </c>
      <c r="C127" s="20" t="s">
        <v>1681</v>
      </c>
      <c r="D127" s="20" t="s">
        <v>1770</v>
      </c>
      <c r="E127" s="20" t="s">
        <v>1771</v>
      </c>
      <c r="F127" s="20" t="s">
        <v>1772</v>
      </c>
      <c r="G127" s="20" t="s">
        <v>997</v>
      </c>
      <c r="H127" s="20" t="s">
        <v>1773</v>
      </c>
      <c r="I127" s="21" t="s">
        <v>1678</v>
      </c>
      <c r="J127" s="22" t="s">
        <v>33</v>
      </c>
      <c r="K127" s="23">
        <f>L127/1.22*1</f>
        <v>250.81967213114754</v>
      </c>
      <c r="L127" s="26">
        <v>306</v>
      </c>
      <c r="M127" s="25">
        <v>332.66</v>
      </c>
      <c r="N127" s="25">
        <f t="shared" si="1"/>
        <v>405.84520000000003</v>
      </c>
    </row>
    <row r="128" spans="2:14" ht="72" x14ac:dyDescent="0.35">
      <c r="B128" s="20" t="s">
        <v>1680</v>
      </c>
      <c r="C128" s="20" t="s">
        <v>1686</v>
      </c>
      <c r="D128" s="20" t="s">
        <v>1774</v>
      </c>
      <c r="E128" s="20" t="s">
        <v>1775</v>
      </c>
      <c r="F128" s="20" t="s">
        <v>1776</v>
      </c>
      <c r="G128" s="20" t="s">
        <v>997</v>
      </c>
      <c r="H128" s="20" t="s">
        <v>1777</v>
      </c>
      <c r="I128" s="21" t="s">
        <v>1678</v>
      </c>
      <c r="J128" s="22" t="s">
        <v>33</v>
      </c>
      <c r="K128" s="23">
        <f>L128/1.22*1</f>
        <v>272.13114754098359</v>
      </c>
      <c r="L128" s="26">
        <v>332</v>
      </c>
      <c r="M128" s="25">
        <v>676.1</v>
      </c>
      <c r="N128" s="25">
        <f t="shared" si="1"/>
        <v>824.84199999999998</v>
      </c>
    </row>
    <row r="129" spans="2:14" ht="36" x14ac:dyDescent="0.35">
      <c r="B129" s="20" t="s">
        <v>1680</v>
      </c>
      <c r="C129" s="20" t="s">
        <v>1681</v>
      </c>
      <c r="D129" s="20" t="s">
        <v>1778</v>
      </c>
      <c r="E129" s="20" t="s">
        <v>1779</v>
      </c>
      <c r="F129" s="20" t="s">
        <v>1780</v>
      </c>
      <c r="G129" s="20" t="s">
        <v>997</v>
      </c>
      <c r="H129" s="20" t="s">
        <v>1781</v>
      </c>
      <c r="I129" s="21" t="s">
        <v>1678</v>
      </c>
      <c r="J129" s="22" t="s">
        <v>33</v>
      </c>
      <c r="K129" s="23">
        <f>L129/1.22*1</f>
        <v>359.01639344262298</v>
      </c>
      <c r="L129" s="26">
        <v>438</v>
      </c>
      <c r="M129" s="25">
        <v>676.1</v>
      </c>
      <c r="N129" s="25">
        <f t="shared" si="1"/>
        <v>824.84199999999998</v>
      </c>
    </row>
    <row r="130" spans="2:14" ht="36" x14ac:dyDescent="0.35">
      <c r="B130" s="20" t="s">
        <v>1680</v>
      </c>
      <c r="C130" s="20" t="s">
        <v>1681</v>
      </c>
      <c r="D130" s="20" t="s">
        <v>1782</v>
      </c>
      <c r="E130" s="20" t="s">
        <v>1783</v>
      </c>
      <c r="F130" s="20" t="s">
        <v>1784</v>
      </c>
      <c r="G130" s="20" t="s">
        <v>997</v>
      </c>
      <c r="H130" s="20" t="s">
        <v>1785</v>
      </c>
      <c r="I130" s="21" t="s">
        <v>1678</v>
      </c>
      <c r="J130" s="22" t="s">
        <v>33</v>
      </c>
      <c r="K130" s="23">
        <f>L130/1.22*1</f>
        <v>221.31147540983608</v>
      </c>
      <c r="L130" s="26">
        <v>270</v>
      </c>
      <c r="M130" s="25">
        <v>676.1</v>
      </c>
      <c r="N130" s="25">
        <f t="shared" si="1"/>
        <v>824.84199999999998</v>
      </c>
    </row>
    <row r="131" spans="2:14" ht="36" x14ac:dyDescent="0.35">
      <c r="B131" s="20" t="s">
        <v>1680</v>
      </c>
      <c r="C131" s="20" t="s">
        <v>1686</v>
      </c>
      <c r="D131" s="20" t="s">
        <v>1786</v>
      </c>
      <c r="E131" s="20" t="s">
        <v>1787</v>
      </c>
      <c r="F131" s="20" t="s">
        <v>1788</v>
      </c>
      <c r="G131" s="20" t="s">
        <v>997</v>
      </c>
      <c r="H131" s="20" t="s">
        <v>1789</v>
      </c>
      <c r="I131" s="21" t="s">
        <v>1678</v>
      </c>
      <c r="J131" s="22" t="s">
        <v>33</v>
      </c>
      <c r="K131" s="23">
        <f>L131/1.22*1</f>
        <v>1345.0819672131147</v>
      </c>
      <c r="L131" s="26">
        <v>1641</v>
      </c>
      <c r="M131" s="25">
        <v>676.1</v>
      </c>
      <c r="N131" s="25">
        <f t="shared" si="1"/>
        <v>824.84199999999998</v>
      </c>
    </row>
    <row r="132" spans="2:14" ht="48" x14ac:dyDescent="0.35">
      <c r="B132" s="20" t="s">
        <v>1680</v>
      </c>
      <c r="C132" s="20" t="s">
        <v>1686</v>
      </c>
      <c r="D132" s="20" t="s">
        <v>1790</v>
      </c>
      <c r="E132" s="20" t="s">
        <v>1791</v>
      </c>
      <c r="F132" s="20" t="s">
        <v>1792</v>
      </c>
      <c r="G132" s="20" t="s">
        <v>997</v>
      </c>
      <c r="H132" s="20" t="s">
        <v>1793</v>
      </c>
      <c r="I132" s="21" t="s">
        <v>1678</v>
      </c>
      <c r="J132" s="22" t="s">
        <v>33</v>
      </c>
      <c r="K132" s="23">
        <f>L132/1.22*1</f>
        <v>250.81967213114754</v>
      </c>
      <c r="L132" s="26">
        <v>306</v>
      </c>
      <c r="M132" s="25">
        <v>659.71</v>
      </c>
      <c r="N132" s="25">
        <f t="shared" si="1"/>
        <v>804.84620000000007</v>
      </c>
    </row>
    <row r="133" spans="2:14" ht="48" x14ac:dyDescent="0.35">
      <c r="B133" s="20" t="s">
        <v>1680</v>
      </c>
      <c r="C133" s="20" t="s">
        <v>1686</v>
      </c>
      <c r="D133" s="20" t="s">
        <v>1794</v>
      </c>
      <c r="E133" s="20" t="s">
        <v>1795</v>
      </c>
      <c r="F133" s="20" t="s">
        <v>1796</v>
      </c>
      <c r="G133" s="20" t="s">
        <v>997</v>
      </c>
      <c r="H133" s="20" t="s">
        <v>1797</v>
      </c>
      <c r="I133" s="21" t="s">
        <v>1678</v>
      </c>
      <c r="J133" s="22" t="s">
        <v>33</v>
      </c>
      <c r="K133" s="23">
        <f>L133/1.22*1</f>
        <v>231.14754098360658</v>
      </c>
      <c r="L133" s="26">
        <v>282</v>
      </c>
      <c r="M133" s="25">
        <v>371.18</v>
      </c>
      <c r="N133" s="25">
        <f t="shared" si="1"/>
        <v>452.83960000000002</v>
      </c>
    </row>
    <row r="134" spans="2:14" ht="60" x14ac:dyDescent="0.35">
      <c r="B134" s="20" t="s">
        <v>1680</v>
      </c>
      <c r="C134" s="20" t="s">
        <v>1686</v>
      </c>
      <c r="D134" s="20" t="s">
        <v>1798</v>
      </c>
      <c r="E134" s="20" t="s">
        <v>1799</v>
      </c>
      <c r="F134" s="20" t="s">
        <v>1800</v>
      </c>
      <c r="G134" s="20" t="s">
        <v>997</v>
      </c>
      <c r="H134" s="20" t="s">
        <v>1801</v>
      </c>
      <c r="I134" s="21" t="s">
        <v>1678</v>
      </c>
      <c r="J134" s="22" t="s">
        <v>33</v>
      </c>
      <c r="K134" s="23">
        <f>L134/1.22*1</f>
        <v>527.04918032786884</v>
      </c>
      <c r="L134" s="26">
        <v>643</v>
      </c>
      <c r="M134" s="25">
        <v>1476.1</v>
      </c>
      <c r="N134" s="25">
        <f t="shared" si="1"/>
        <v>1800.8419999999999</v>
      </c>
    </row>
    <row r="135" spans="2:14" ht="36" x14ac:dyDescent="0.35">
      <c r="B135" s="20" t="s">
        <v>1680</v>
      </c>
      <c r="C135" s="20" t="s">
        <v>1686</v>
      </c>
      <c r="D135" s="20" t="s">
        <v>1802</v>
      </c>
      <c r="E135" s="20" t="s">
        <v>1803</v>
      </c>
      <c r="F135" s="20" t="s">
        <v>1804</v>
      </c>
      <c r="G135" s="20" t="s">
        <v>997</v>
      </c>
      <c r="H135" s="20" t="s">
        <v>1805</v>
      </c>
      <c r="I135" s="21" t="s">
        <v>1678</v>
      </c>
      <c r="J135" s="22" t="s">
        <v>33</v>
      </c>
      <c r="K135" s="23">
        <f>L135/1.22*1</f>
        <v>206.55737704918033</v>
      </c>
      <c r="L135" s="26">
        <v>252</v>
      </c>
      <c r="M135" s="25">
        <v>504.79</v>
      </c>
      <c r="N135" s="25">
        <f t="shared" si="1"/>
        <v>615.84379999999999</v>
      </c>
    </row>
    <row r="136" spans="2:14" ht="48" x14ac:dyDescent="0.35">
      <c r="B136" s="20" t="s">
        <v>1680</v>
      </c>
      <c r="C136" s="20" t="s">
        <v>1686</v>
      </c>
      <c r="D136" s="20" t="s">
        <v>1806</v>
      </c>
      <c r="E136" s="20" t="s">
        <v>1807</v>
      </c>
      <c r="F136" s="20" t="s">
        <v>1804</v>
      </c>
      <c r="G136" s="20" t="s">
        <v>997</v>
      </c>
      <c r="H136" s="20" t="s">
        <v>1808</v>
      </c>
      <c r="I136" s="21" t="s">
        <v>1678</v>
      </c>
      <c r="J136" s="22" t="s">
        <v>33</v>
      </c>
      <c r="K136" s="23">
        <f>L136/1.22*1</f>
        <v>231.14754098360658</v>
      </c>
      <c r="L136" s="26">
        <v>282</v>
      </c>
      <c r="M136" s="25">
        <v>651.51</v>
      </c>
      <c r="N136" s="25">
        <f t="shared" si="1"/>
        <v>794.84219999999993</v>
      </c>
    </row>
    <row r="137" spans="2:14" ht="36" x14ac:dyDescent="0.35">
      <c r="B137" s="20" t="s">
        <v>1680</v>
      </c>
      <c r="C137" s="20" t="s">
        <v>1686</v>
      </c>
      <c r="D137" s="20" t="s">
        <v>1809</v>
      </c>
      <c r="E137" s="20" t="s">
        <v>1810</v>
      </c>
      <c r="F137" s="20" t="s">
        <v>1811</v>
      </c>
      <c r="G137" s="20" t="s">
        <v>997</v>
      </c>
      <c r="H137" s="20" t="s">
        <v>1812</v>
      </c>
      <c r="I137" s="21" t="s">
        <v>1678</v>
      </c>
      <c r="J137" s="22" t="s">
        <v>33</v>
      </c>
      <c r="K137" s="23">
        <f>L137/1.22*1</f>
        <v>1003.2786885245902</v>
      </c>
      <c r="L137" s="26">
        <v>1224</v>
      </c>
      <c r="M137" s="25">
        <v>508.07</v>
      </c>
      <c r="N137" s="25">
        <f t="shared" si="1"/>
        <v>619.84539999999993</v>
      </c>
    </row>
    <row r="138" spans="2:14" ht="36" x14ac:dyDescent="0.35">
      <c r="B138" s="20" t="s">
        <v>1680</v>
      </c>
      <c r="C138" s="20" t="s">
        <v>1686</v>
      </c>
      <c r="D138" s="20" t="s">
        <v>1813</v>
      </c>
      <c r="E138" s="20" t="s">
        <v>1814</v>
      </c>
      <c r="F138" s="20" t="s">
        <v>1815</v>
      </c>
      <c r="G138" s="20" t="s">
        <v>997</v>
      </c>
      <c r="H138" s="20" t="s">
        <v>1816</v>
      </c>
      <c r="I138" s="21" t="s">
        <v>1678</v>
      </c>
      <c r="J138" s="22" t="s">
        <v>33</v>
      </c>
      <c r="K138" s="23">
        <f>L138/1.22*1</f>
        <v>346.72131147540983</v>
      </c>
      <c r="L138" s="26">
        <v>423</v>
      </c>
      <c r="M138" s="25">
        <v>296.58999999999997</v>
      </c>
      <c r="N138" s="25">
        <f t="shared" ref="N138:N201" si="2">M138*1.22</f>
        <v>361.83979999999997</v>
      </c>
    </row>
    <row r="139" spans="2:14" ht="36" x14ac:dyDescent="0.35">
      <c r="B139" s="20" t="s">
        <v>1680</v>
      </c>
      <c r="C139" s="20" t="s">
        <v>1686</v>
      </c>
      <c r="D139" s="20" t="s">
        <v>1817</v>
      </c>
      <c r="E139" s="20" t="s">
        <v>1818</v>
      </c>
      <c r="F139" s="20" t="s">
        <v>1819</v>
      </c>
      <c r="G139" s="20" t="s">
        <v>997</v>
      </c>
      <c r="H139" s="20" t="s">
        <v>1820</v>
      </c>
      <c r="I139" s="21" t="s">
        <v>1678</v>
      </c>
      <c r="J139" s="22" t="s">
        <v>33</v>
      </c>
      <c r="K139" s="23">
        <f>L139/1.22*1</f>
        <v>161.47540983606558</v>
      </c>
      <c r="L139" s="26">
        <v>197</v>
      </c>
      <c r="M139" s="25">
        <v>335.94</v>
      </c>
      <c r="N139" s="25">
        <f t="shared" si="2"/>
        <v>409.84679999999997</v>
      </c>
    </row>
    <row r="140" spans="2:14" ht="60" x14ac:dyDescent="0.35">
      <c r="B140" s="20" t="s">
        <v>1680</v>
      </c>
      <c r="C140" s="20" t="s">
        <v>1686</v>
      </c>
      <c r="D140" s="20" t="s">
        <v>1821</v>
      </c>
      <c r="E140" s="20" t="s">
        <v>1822</v>
      </c>
      <c r="F140" s="20" t="s">
        <v>1823</v>
      </c>
      <c r="G140" s="20" t="s">
        <v>997</v>
      </c>
      <c r="H140" s="20" t="s">
        <v>1824</v>
      </c>
      <c r="I140" s="21" t="s">
        <v>1678</v>
      </c>
      <c r="J140" s="22" t="s">
        <v>33</v>
      </c>
      <c r="K140" s="23">
        <f>L140/1.22*1</f>
        <v>206.55737704918033</v>
      </c>
      <c r="L140" s="26">
        <v>252</v>
      </c>
      <c r="M140" s="25">
        <v>789.22</v>
      </c>
      <c r="N140" s="25">
        <f t="shared" si="2"/>
        <v>962.84839999999997</v>
      </c>
    </row>
    <row r="141" spans="2:14" ht="48" x14ac:dyDescent="0.35">
      <c r="B141" s="20" t="s">
        <v>1680</v>
      </c>
      <c r="C141" s="20" t="s">
        <v>1686</v>
      </c>
      <c r="D141" s="20" t="s">
        <v>1825</v>
      </c>
      <c r="E141" s="20" t="s">
        <v>1826</v>
      </c>
      <c r="F141" s="20" t="s">
        <v>1827</v>
      </c>
      <c r="G141" s="20" t="s">
        <v>997</v>
      </c>
      <c r="H141" s="20" t="s">
        <v>1828</v>
      </c>
      <c r="I141" s="21" t="s">
        <v>1678</v>
      </c>
      <c r="J141" s="22" t="s">
        <v>33</v>
      </c>
      <c r="K141" s="23">
        <f>L141/1.22*1</f>
        <v>542.62295081967216</v>
      </c>
      <c r="L141" s="26">
        <v>662</v>
      </c>
      <c r="M141" s="25">
        <v>402.33</v>
      </c>
      <c r="N141" s="25">
        <f t="shared" si="2"/>
        <v>490.84259999999995</v>
      </c>
    </row>
    <row r="142" spans="2:14" ht="36" x14ac:dyDescent="0.35">
      <c r="B142" s="20" t="s">
        <v>1680</v>
      </c>
      <c r="C142" s="20" t="s">
        <v>1686</v>
      </c>
      <c r="D142" s="20" t="s">
        <v>1829</v>
      </c>
      <c r="E142" s="20" t="s">
        <v>1830</v>
      </c>
      <c r="F142" s="20" t="s">
        <v>1831</v>
      </c>
      <c r="G142" s="20" t="s">
        <v>997</v>
      </c>
      <c r="H142" s="20" t="s">
        <v>1832</v>
      </c>
      <c r="I142" s="21" t="s">
        <v>1678</v>
      </c>
      <c r="J142" s="22" t="s">
        <v>33</v>
      </c>
      <c r="K142" s="23">
        <f>L142/1.22*1</f>
        <v>542.62295081967216</v>
      </c>
      <c r="L142" s="26">
        <v>662</v>
      </c>
      <c r="M142" s="25">
        <v>726.1</v>
      </c>
      <c r="N142" s="25">
        <f t="shared" si="2"/>
        <v>885.84199999999998</v>
      </c>
    </row>
    <row r="143" spans="2:14" ht="36" x14ac:dyDescent="0.35">
      <c r="B143" s="20" t="s">
        <v>1680</v>
      </c>
      <c r="C143" s="20" t="s">
        <v>1686</v>
      </c>
      <c r="D143" s="20" t="s">
        <v>1833</v>
      </c>
      <c r="E143" s="20" t="s">
        <v>1834</v>
      </c>
      <c r="F143" s="20" t="s">
        <v>1835</v>
      </c>
      <c r="G143" s="20" t="s">
        <v>997</v>
      </c>
      <c r="H143" s="20" t="s">
        <v>1836</v>
      </c>
      <c r="I143" s="21" t="s">
        <v>1678</v>
      </c>
      <c r="J143" s="22" t="s">
        <v>33</v>
      </c>
      <c r="K143" s="23">
        <f>L143/1.22*1</f>
        <v>682.78688524590166</v>
      </c>
      <c r="L143" s="26">
        <v>833</v>
      </c>
      <c r="M143" s="25">
        <v>765.45</v>
      </c>
      <c r="N143" s="25">
        <f t="shared" si="2"/>
        <v>933.84900000000005</v>
      </c>
    </row>
    <row r="144" spans="2:14" ht="36" x14ac:dyDescent="0.35">
      <c r="B144" s="20" t="s">
        <v>1680</v>
      </c>
      <c r="C144" s="20" t="s">
        <v>1686</v>
      </c>
      <c r="D144" s="20" t="s">
        <v>1837</v>
      </c>
      <c r="E144" s="20" t="s">
        <v>1838</v>
      </c>
      <c r="F144" s="20" t="s">
        <v>1839</v>
      </c>
      <c r="G144" s="20" t="s">
        <v>997</v>
      </c>
      <c r="H144" s="20" t="s">
        <v>1840</v>
      </c>
      <c r="I144" s="21" t="s">
        <v>1678</v>
      </c>
      <c r="J144" s="22" t="s">
        <v>33</v>
      </c>
      <c r="K144" s="23">
        <f>L144/1.22*1</f>
        <v>782.78688524590166</v>
      </c>
      <c r="L144" s="26">
        <v>955</v>
      </c>
      <c r="M144" s="25">
        <v>749.87</v>
      </c>
      <c r="N144" s="25">
        <f t="shared" si="2"/>
        <v>914.84140000000002</v>
      </c>
    </row>
    <row r="145" spans="2:14" ht="36" x14ac:dyDescent="0.35">
      <c r="B145" s="20" t="s">
        <v>1680</v>
      </c>
      <c r="C145" s="20" t="s">
        <v>1686</v>
      </c>
      <c r="D145" s="20" t="s">
        <v>1841</v>
      </c>
      <c r="E145" s="20" t="s">
        <v>1842</v>
      </c>
      <c r="F145" s="20" t="s">
        <v>1843</v>
      </c>
      <c r="G145" s="20" t="s">
        <v>997</v>
      </c>
      <c r="H145" s="20" t="s">
        <v>1844</v>
      </c>
      <c r="I145" s="21" t="s">
        <v>1678</v>
      </c>
      <c r="J145" s="22" t="s">
        <v>33</v>
      </c>
      <c r="K145" s="23">
        <f>L145/1.22*1</f>
        <v>823.77049180327867</v>
      </c>
      <c r="L145" s="26">
        <v>1005</v>
      </c>
      <c r="M145" s="25">
        <v>863.81</v>
      </c>
      <c r="N145" s="25">
        <f t="shared" si="2"/>
        <v>1053.8481999999999</v>
      </c>
    </row>
    <row r="146" spans="2:14" ht="96" x14ac:dyDescent="0.35">
      <c r="B146" s="20" t="s">
        <v>1680</v>
      </c>
      <c r="C146" s="20" t="s">
        <v>1686</v>
      </c>
      <c r="D146" s="20" t="s">
        <v>1845</v>
      </c>
      <c r="E146" s="20" t="s">
        <v>1846</v>
      </c>
      <c r="F146" s="20" t="s">
        <v>1847</v>
      </c>
      <c r="G146" s="20" t="s">
        <v>997</v>
      </c>
      <c r="H146" s="20" t="s">
        <v>1848</v>
      </c>
      <c r="I146" s="21" t="s">
        <v>1678</v>
      </c>
      <c r="J146" s="22" t="s">
        <v>33</v>
      </c>
      <c r="K146" s="23">
        <f>L146/1.22*1</f>
        <v>182.78688524590163</v>
      </c>
      <c r="L146" s="26">
        <v>223</v>
      </c>
      <c r="M146" s="25">
        <v>498.23</v>
      </c>
      <c r="N146" s="25">
        <f t="shared" si="2"/>
        <v>607.84059999999999</v>
      </c>
    </row>
    <row r="147" spans="2:14" ht="96" x14ac:dyDescent="0.35">
      <c r="B147" s="20" t="s">
        <v>1680</v>
      </c>
      <c r="C147" s="20" t="s">
        <v>1681</v>
      </c>
      <c r="D147" s="20" t="s">
        <v>1849</v>
      </c>
      <c r="E147" s="20" t="s">
        <v>1850</v>
      </c>
      <c r="F147" s="20" t="s">
        <v>1851</v>
      </c>
      <c r="G147" s="20" t="s">
        <v>997</v>
      </c>
      <c r="H147" s="20" t="s">
        <v>1852</v>
      </c>
      <c r="I147" s="21" t="s">
        <v>1678</v>
      </c>
      <c r="J147" s="22" t="s">
        <v>33</v>
      </c>
      <c r="K147" s="23">
        <f>L147/1.22*1</f>
        <v>233.6065573770492</v>
      </c>
      <c r="L147" s="26">
        <v>285</v>
      </c>
      <c r="M147" s="25">
        <v>645.77</v>
      </c>
      <c r="N147" s="25">
        <f t="shared" si="2"/>
        <v>787.83939999999996</v>
      </c>
    </row>
    <row r="148" spans="2:14" ht="96" x14ac:dyDescent="0.35">
      <c r="B148" s="20" t="s">
        <v>1680</v>
      </c>
      <c r="C148" s="20" t="s">
        <v>1681</v>
      </c>
      <c r="D148" s="20" t="s">
        <v>1853</v>
      </c>
      <c r="E148" s="20" t="s">
        <v>1854</v>
      </c>
      <c r="F148" s="20" t="s">
        <v>1855</v>
      </c>
      <c r="G148" s="20" t="s">
        <v>997</v>
      </c>
      <c r="H148" s="20" t="s">
        <v>1856</v>
      </c>
      <c r="I148" s="21" t="s">
        <v>1678</v>
      </c>
      <c r="J148" s="22" t="s">
        <v>33</v>
      </c>
      <c r="K148" s="23">
        <f>L148/1.22*1</f>
        <v>381.96721311475409</v>
      </c>
      <c r="L148" s="26">
        <v>466</v>
      </c>
      <c r="M148" s="25">
        <v>435.94</v>
      </c>
      <c r="N148" s="25">
        <f t="shared" si="2"/>
        <v>531.84680000000003</v>
      </c>
    </row>
    <row r="149" spans="2:14" ht="96" x14ac:dyDescent="0.35">
      <c r="B149" s="20" t="s">
        <v>1680</v>
      </c>
      <c r="C149" s="20" t="s">
        <v>1686</v>
      </c>
      <c r="D149" s="20" t="s">
        <v>1641</v>
      </c>
      <c r="E149" s="20" t="s">
        <v>1857</v>
      </c>
      <c r="F149" s="20" t="s">
        <v>1858</v>
      </c>
      <c r="G149" s="20" t="s">
        <v>997</v>
      </c>
      <c r="H149" s="20" t="s">
        <v>1859</v>
      </c>
      <c r="I149" s="21" t="s">
        <v>1678</v>
      </c>
      <c r="J149" s="22" t="s">
        <v>33</v>
      </c>
      <c r="K149" s="23">
        <f>L149/1.22*1</f>
        <v>246.72131147540983</v>
      </c>
      <c r="L149" s="26">
        <v>301</v>
      </c>
      <c r="M149" s="25">
        <v>657.25</v>
      </c>
      <c r="N149" s="25">
        <f t="shared" si="2"/>
        <v>801.84500000000003</v>
      </c>
    </row>
    <row r="150" spans="2:14" ht="84" x14ac:dyDescent="0.35">
      <c r="B150" s="20" t="s">
        <v>1680</v>
      </c>
      <c r="C150" s="20" t="s">
        <v>1681</v>
      </c>
      <c r="D150" s="20" t="s">
        <v>1860</v>
      </c>
      <c r="E150" s="20" t="s">
        <v>1861</v>
      </c>
      <c r="F150" s="20" t="s">
        <v>1862</v>
      </c>
      <c r="G150" s="20" t="s">
        <v>997</v>
      </c>
      <c r="H150" s="20" t="s">
        <v>1863</v>
      </c>
      <c r="I150" s="21" t="s">
        <v>1678</v>
      </c>
      <c r="J150" s="22" t="s">
        <v>33</v>
      </c>
      <c r="K150" s="23">
        <f>L150/1.22*1</f>
        <v>531.96721311475414</v>
      </c>
      <c r="L150" s="26">
        <v>649</v>
      </c>
      <c r="M150" s="25">
        <v>461.35</v>
      </c>
      <c r="N150" s="25">
        <f t="shared" si="2"/>
        <v>562.84699999999998</v>
      </c>
    </row>
    <row r="151" spans="2:14" ht="108" x14ac:dyDescent="0.35">
      <c r="B151" s="20" t="s">
        <v>1680</v>
      </c>
      <c r="C151" s="20" t="s">
        <v>1686</v>
      </c>
      <c r="D151" s="20" t="s">
        <v>1864</v>
      </c>
      <c r="E151" s="20" t="s">
        <v>1865</v>
      </c>
      <c r="F151" s="20" t="s">
        <v>1866</v>
      </c>
      <c r="G151" s="20" t="s">
        <v>997</v>
      </c>
      <c r="H151" s="20" t="s">
        <v>1867</v>
      </c>
      <c r="I151" s="21" t="s">
        <v>1678</v>
      </c>
      <c r="J151" s="22" t="s">
        <v>33</v>
      </c>
      <c r="K151" s="23">
        <f>L151/1.22*1</f>
        <v>166.39344262295083</v>
      </c>
      <c r="L151" s="26">
        <v>203</v>
      </c>
      <c r="M151" s="25">
        <v>534.29999999999995</v>
      </c>
      <c r="N151" s="25">
        <f t="shared" si="2"/>
        <v>651.84599999999989</v>
      </c>
    </row>
    <row r="152" spans="2:14" ht="96" x14ac:dyDescent="0.35">
      <c r="B152" s="20" t="s">
        <v>1680</v>
      </c>
      <c r="C152" s="20" t="s">
        <v>1686</v>
      </c>
      <c r="D152" s="20" t="s">
        <v>1864</v>
      </c>
      <c r="E152" s="20" t="s">
        <v>1865</v>
      </c>
      <c r="F152" s="20" t="s">
        <v>1866</v>
      </c>
      <c r="G152" s="20" t="s">
        <v>997</v>
      </c>
      <c r="H152" s="20" t="s">
        <v>1867</v>
      </c>
      <c r="I152" s="21" t="s">
        <v>1678</v>
      </c>
      <c r="J152" s="22" t="s">
        <v>33</v>
      </c>
      <c r="K152" s="23">
        <f>L152/1.22*1</f>
        <v>166.39344262295083</v>
      </c>
      <c r="L152" s="26">
        <v>203</v>
      </c>
      <c r="M152" s="25">
        <v>572.82000000000005</v>
      </c>
      <c r="N152" s="25">
        <f t="shared" si="2"/>
        <v>698.84040000000005</v>
      </c>
    </row>
    <row r="153" spans="2:14" ht="84" x14ac:dyDescent="0.35">
      <c r="B153" s="20" t="s">
        <v>1680</v>
      </c>
      <c r="C153" s="20" t="s">
        <v>1686</v>
      </c>
      <c r="D153" s="20" t="s">
        <v>1868</v>
      </c>
      <c r="E153" s="20" t="s">
        <v>1869</v>
      </c>
      <c r="F153" s="20" t="s">
        <v>1870</v>
      </c>
      <c r="G153" s="20" t="s">
        <v>997</v>
      </c>
      <c r="H153" s="20" t="s">
        <v>1871</v>
      </c>
      <c r="I153" s="21" t="s">
        <v>1678</v>
      </c>
      <c r="J153" s="22" t="s">
        <v>33</v>
      </c>
      <c r="K153" s="23">
        <f>L153/1.22*1</f>
        <v>356.55737704918033</v>
      </c>
      <c r="L153" s="26">
        <v>435</v>
      </c>
      <c r="M153" s="25">
        <v>484.3</v>
      </c>
      <c r="N153" s="25">
        <f t="shared" si="2"/>
        <v>590.846</v>
      </c>
    </row>
    <row r="154" spans="2:14" ht="120" x14ac:dyDescent="0.35">
      <c r="B154" s="20" t="s">
        <v>1680</v>
      </c>
      <c r="C154" s="20" t="s">
        <v>1686</v>
      </c>
      <c r="D154" s="20" t="s">
        <v>1662</v>
      </c>
      <c r="E154" s="20" t="s">
        <v>1872</v>
      </c>
      <c r="F154" s="20" t="s">
        <v>1873</v>
      </c>
      <c r="G154" s="20" t="s">
        <v>997</v>
      </c>
      <c r="H154" s="20" t="s">
        <v>1874</v>
      </c>
      <c r="I154" s="21" t="s">
        <v>1678</v>
      </c>
      <c r="J154" s="22" t="s">
        <v>33</v>
      </c>
      <c r="K154" s="23">
        <f>L154/1.22*1</f>
        <v>477.04918032786884</v>
      </c>
      <c r="L154" s="26">
        <v>582</v>
      </c>
      <c r="M154" s="25">
        <v>489.22</v>
      </c>
      <c r="N154" s="25">
        <f t="shared" si="2"/>
        <v>596.84839999999997</v>
      </c>
    </row>
    <row r="155" spans="2:14" ht="96" x14ac:dyDescent="0.35">
      <c r="B155" s="20" t="s">
        <v>1680</v>
      </c>
      <c r="C155" s="20" t="s">
        <v>1686</v>
      </c>
      <c r="D155" s="20" t="s">
        <v>1875</v>
      </c>
      <c r="E155" s="20" t="s">
        <v>1876</v>
      </c>
      <c r="F155" s="20" t="s">
        <v>1877</v>
      </c>
      <c r="G155" s="20" t="s">
        <v>997</v>
      </c>
      <c r="H155" s="20" t="s">
        <v>1878</v>
      </c>
      <c r="I155" s="21" t="s">
        <v>1678</v>
      </c>
      <c r="J155" s="22" t="s">
        <v>33</v>
      </c>
      <c r="K155" s="23">
        <f>L155/1.22*1</f>
        <v>236.0655737704918</v>
      </c>
      <c r="L155" s="26">
        <v>288</v>
      </c>
      <c r="M155" s="25">
        <v>554.79</v>
      </c>
      <c r="N155" s="25">
        <f t="shared" si="2"/>
        <v>676.84379999999999</v>
      </c>
    </row>
    <row r="156" spans="2:14" ht="84" x14ac:dyDescent="0.35">
      <c r="B156" s="20" t="s">
        <v>1680</v>
      </c>
      <c r="C156" s="20" t="s">
        <v>1686</v>
      </c>
      <c r="D156" s="20" t="s">
        <v>1879</v>
      </c>
      <c r="E156" s="20" t="s">
        <v>1880</v>
      </c>
      <c r="F156" s="20" t="s">
        <v>1881</v>
      </c>
      <c r="G156" s="20" t="s">
        <v>997</v>
      </c>
      <c r="H156" s="20" t="s">
        <v>1882</v>
      </c>
      <c r="I156" s="21" t="s">
        <v>1678</v>
      </c>
      <c r="J156" s="22" t="s">
        <v>33</v>
      </c>
      <c r="K156" s="23">
        <f>L156/1.22*1</f>
        <v>412.29508196721315</v>
      </c>
      <c r="L156" s="26">
        <v>503</v>
      </c>
      <c r="M156" s="25">
        <v>562.16999999999996</v>
      </c>
      <c r="N156" s="25">
        <f t="shared" si="2"/>
        <v>685.84739999999988</v>
      </c>
    </row>
    <row r="157" spans="2:14" ht="48" x14ac:dyDescent="0.35">
      <c r="B157" s="20" t="s">
        <v>1680</v>
      </c>
      <c r="C157" s="20" t="s">
        <v>1681</v>
      </c>
      <c r="D157" s="20" t="s">
        <v>1883</v>
      </c>
      <c r="E157" s="20" t="s">
        <v>1884</v>
      </c>
      <c r="F157" s="20" t="s">
        <v>1885</v>
      </c>
      <c r="G157" s="20" t="s">
        <v>997</v>
      </c>
      <c r="H157" s="20" t="s">
        <v>1886</v>
      </c>
      <c r="I157" s="21" t="s">
        <v>1678</v>
      </c>
      <c r="J157" s="22" t="s">
        <v>33</v>
      </c>
      <c r="K157" s="23">
        <f>L157/1.22*1</f>
        <v>241.80327868852459</v>
      </c>
      <c r="L157" s="26">
        <v>295</v>
      </c>
      <c r="M157" s="25">
        <v>588.4</v>
      </c>
      <c r="N157" s="25">
        <f t="shared" si="2"/>
        <v>717.84799999999996</v>
      </c>
    </row>
    <row r="158" spans="2:14" ht="96" x14ac:dyDescent="0.35">
      <c r="B158" s="20" t="s">
        <v>1680</v>
      </c>
      <c r="C158" s="20" t="s">
        <v>1681</v>
      </c>
      <c r="D158" s="20" t="s">
        <v>1887</v>
      </c>
      <c r="E158" s="20" t="s">
        <v>1888</v>
      </c>
      <c r="F158" s="20" t="s">
        <v>1889</v>
      </c>
      <c r="G158" s="20" t="s">
        <v>997</v>
      </c>
      <c r="H158" s="20" t="s">
        <v>1890</v>
      </c>
      <c r="I158" s="21" t="s">
        <v>1678</v>
      </c>
      <c r="J158" s="22" t="s">
        <v>33</v>
      </c>
      <c r="K158" s="23">
        <f>L158/1.22*1</f>
        <v>311.47540983606558</v>
      </c>
      <c r="L158" s="26">
        <v>380</v>
      </c>
      <c r="M158" s="25">
        <v>373.64</v>
      </c>
      <c r="N158" s="25">
        <f t="shared" si="2"/>
        <v>455.8408</v>
      </c>
    </row>
    <row r="159" spans="2:14" ht="72" x14ac:dyDescent="0.35">
      <c r="B159" s="20" t="s">
        <v>1102</v>
      </c>
      <c r="C159" s="20" t="s">
        <v>1103</v>
      </c>
      <c r="D159" s="20" t="s">
        <v>1104</v>
      </c>
      <c r="E159" s="20" t="s">
        <v>1105</v>
      </c>
      <c r="F159" s="20" t="s">
        <v>1106</v>
      </c>
      <c r="G159" s="20" t="s">
        <v>997</v>
      </c>
      <c r="H159" s="20" t="s">
        <v>718</v>
      </c>
      <c r="I159" s="21" t="s">
        <v>1107</v>
      </c>
      <c r="J159" s="22" t="s">
        <v>33</v>
      </c>
      <c r="K159" s="23">
        <f>L159/1.22*1</f>
        <v>238.52459016393442</v>
      </c>
      <c r="L159" s="26">
        <v>291</v>
      </c>
      <c r="M159" s="25">
        <v>435.94</v>
      </c>
      <c r="N159" s="25">
        <f t="shared" si="2"/>
        <v>531.84680000000003</v>
      </c>
    </row>
    <row r="160" spans="2:14" ht="96" x14ac:dyDescent="0.35">
      <c r="B160" s="20" t="s">
        <v>1102</v>
      </c>
      <c r="C160" s="20" t="s">
        <v>1103</v>
      </c>
      <c r="D160" s="20" t="s">
        <v>1104</v>
      </c>
      <c r="E160" s="20" t="s">
        <v>1108</v>
      </c>
      <c r="F160" s="20" t="s">
        <v>1109</v>
      </c>
      <c r="G160" s="20" t="s">
        <v>997</v>
      </c>
      <c r="H160" s="20" t="s">
        <v>718</v>
      </c>
      <c r="I160" s="21" t="s">
        <v>1110</v>
      </c>
      <c r="J160" s="22" t="s">
        <v>33</v>
      </c>
      <c r="K160" s="23">
        <f>L160/1.22*1</f>
        <v>354.09836065573774</v>
      </c>
      <c r="L160" s="26">
        <v>432</v>
      </c>
      <c r="M160" s="25">
        <v>474.46</v>
      </c>
      <c r="N160" s="25">
        <f t="shared" si="2"/>
        <v>578.84119999999996</v>
      </c>
    </row>
    <row r="161" spans="2:14" ht="84" x14ac:dyDescent="0.35">
      <c r="B161" s="20" t="s">
        <v>1102</v>
      </c>
      <c r="C161" s="20" t="s">
        <v>1103</v>
      </c>
      <c r="D161" s="20" t="s">
        <v>1111</v>
      </c>
      <c r="E161" s="20" t="s">
        <v>1112</v>
      </c>
      <c r="F161" s="20" t="s">
        <v>1113</v>
      </c>
      <c r="G161" s="20" t="s">
        <v>997</v>
      </c>
      <c r="H161" s="20" t="s">
        <v>718</v>
      </c>
      <c r="I161" s="21" t="s">
        <v>1107</v>
      </c>
      <c r="J161" s="22" t="s">
        <v>33</v>
      </c>
      <c r="K161" s="23">
        <f>L161/1.22*1</f>
        <v>535.24590163934431</v>
      </c>
      <c r="L161" s="26">
        <v>653</v>
      </c>
      <c r="M161" s="25">
        <v>426.1</v>
      </c>
      <c r="N161" s="25">
        <f t="shared" si="2"/>
        <v>519.84199999999998</v>
      </c>
    </row>
    <row r="162" spans="2:14" ht="96" x14ac:dyDescent="0.35">
      <c r="B162" s="20" t="s">
        <v>1102</v>
      </c>
      <c r="C162" s="20" t="s">
        <v>1103</v>
      </c>
      <c r="D162" s="20" t="s">
        <v>1114</v>
      </c>
      <c r="E162" s="20" t="s">
        <v>1115</v>
      </c>
      <c r="F162" s="20" t="s">
        <v>1116</v>
      </c>
      <c r="G162" s="20" t="s">
        <v>997</v>
      </c>
      <c r="H162" s="20" t="s">
        <v>718</v>
      </c>
      <c r="I162" s="21" t="s">
        <v>1107</v>
      </c>
      <c r="J162" s="22" t="s">
        <v>33</v>
      </c>
      <c r="K162" s="23">
        <f>L162/1.22*1</f>
        <v>842.62295081967216</v>
      </c>
      <c r="L162" s="26">
        <v>1028</v>
      </c>
      <c r="M162" s="25">
        <v>526.1</v>
      </c>
      <c r="N162" s="25">
        <f t="shared" si="2"/>
        <v>641.84199999999998</v>
      </c>
    </row>
    <row r="163" spans="2:14" ht="84" x14ac:dyDescent="0.35">
      <c r="B163" s="20" t="s">
        <v>1102</v>
      </c>
      <c r="C163" s="20" t="s">
        <v>1103</v>
      </c>
      <c r="D163" s="20" t="s">
        <v>1117</v>
      </c>
      <c r="E163" s="20" t="s">
        <v>1118</v>
      </c>
      <c r="F163" s="20" t="s">
        <v>1119</v>
      </c>
      <c r="G163" s="20" t="s">
        <v>997</v>
      </c>
      <c r="H163" s="20" t="s">
        <v>718</v>
      </c>
      <c r="I163" s="21" t="s">
        <v>1107</v>
      </c>
      <c r="J163" s="22" t="s">
        <v>33</v>
      </c>
      <c r="K163" s="23">
        <f>L163/1.22*1</f>
        <v>397.5409836065574</v>
      </c>
      <c r="L163" s="26">
        <v>485</v>
      </c>
      <c r="M163" s="25">
        <v>457.25</v>
      </c>
      <c r="N163" s="25">
        <f t="shared" si="2"/>
        <v>557.84500000000003</v>
      </c>
    </row>
    <row r="164" spans="2:14" ht="84" x14ac:dyDescent="0.35">
      <c r="B164" s="20" t="s">
        <v>1102</v>
      </c>
      <c r="C164" s="20" t="s">
        <v>1103</v>
      </c>
      <c r="D164" s="20" t="s">
        <v>1117</v>
      </c>
      <c r="E164" s="20" t="s">
        <v>1120</v>
      </c>
      <c r="F164" s="20" t="s">
        <v>1121</v>
      </c>
      <c r="G164" s="20" t="s">
        <v>997</v>
      </c>
      <c r="H164" s="20" t="s">
        <v>718</v>
      </c>
      <c r="I164" s="21" t="s">
        <v>1110</v>
      </c>
      <c r="J164" s="22" t="s">
        <v>33</v>
      </c>
      <c r="K164" s="23">
        <f>L164/1.22*1</f>
        <v>185.24590163934425</v>
      </c>
      <c r="L164" s="26">
        <v>226</v>
      </c>
      <c r="M164" s="25">
        <v>528.55999999999995</v>
      </c>
      <c r="N164" s="25">
        <f t="shared" si="2"/>
        <v>644.84319999999991</v>
      </c>
    </row>
    <row r="165" spans="2:14" ht="72" x14ac:dyDescent="0.35">
      <c r="B165" s="20" t="s">
        <v>1102</v>
      </c>
      <c r="C165" s="20" t="s">
        <v>1103</v>
      </c>
      <c r="D165" s="20" t="s">
        <v>1122</v>
      </c>
      <c r="E165" s="20" t="s">
        <v>1123</v>
      </c>
      <c r="F165" s="20" t="s">
        <v>1124</v>
      </c>
      <c r="G165" s="20" t="s">
        <v>997</v>
      </c>
      <c r="H165" s="20" t="s">
        <v>718</v>
      </c>
      <c r="I165" s="21" t="s">
        <v>1107</v>
      </c>
      <c r="J165" s="22" t="s">
        <v>33</v>
      </c>
      <c r="K165" s="23">
        <f>L165/1.22*1</f>
        <v>313.11475409836066</v>
      </c>
      <c r="L165" s="26">
        <v>382</v>
      </c>
      <c r="M165" s="25">
        <v>490.86</v>
      </c>
      <c r="N165" s="25">
        <f t="shared" si="2"/>
        <v>598.8492</v>
      </c>
    </row>
    <row r="166" spans="2:14" ht="84" x14ac:dyDescent="0.35">
      <c r="B166" s="20" t="s">
        <v>1102</v>
      </c>
      <c r="C166" s="20" t="s">
        <v>1103</v>
      </c>
      <c r="D166" s="20" t="s">
        <v>1125</v>
      </c>
      <c r="E166" s="20" t="s">
        <v>1126</v>
      </c>
      <c r="F166" s="20" t="s">
        <v>1127</v>
      </c>
      <c r="G166" s="20" t="s">
        <v>997</v>
      </c>
      <c r="H166" s="20" t="s">
        <v>718</v>
      </c>
      <c r="I166" s="21" t="s">
        <v>1107</v>
      </c>
      <c r="J166" s="22" t="s">
        <v>33</v>
      </c>
      <c r="K166" s="23">
        <f>L166/1.22*1</f>
        <v>565.57377049180332</v>
      </c>
      <c r="L166" s="26">
        <v>690</v>
      </c>
      <c r="M166" s="25">
        <v>498.23</v>
      </c>
      <c r="N166" s="25">
        <f t="shared" si="2"/>
        <v>607.84059999999999</v>
      </c>
    </row>
    <row r="167" spans="2:14" ht="96" x14ac:dyDescent="0.35">
      <c r="B167" s="20" t="s">
        <v>1102</v>
      </c>
      <c r="C167" s="20" t="s">
        <v>1103</v>
      </c>
      <c r="D167" s="20" t="s">
        <v>1125</v>
      </c>
      <c r="E167" s="20" t="s">
        <v>1128</v>
      </c>
      <c r="F167" s="20" t="s">
        <v>1129</v>
      </c>
      <c r="G167" s="20" t="s">
        <v>997</v>
      </c>
      <c r="H167" s="20" t="s">
        <v>718</v>
      </c>
      <c r="I167" s="21" t="s">
        <v>1110</v>
      </c>
      <c r="J167" s="22" t="s">
        <v>33</v>
      </c>
      <c r="K167" s="23">
        <f>L167/1.22*1</f>
        <v>144.26229508196721</v>
      </c>
      <c r="L167" s="26">
        <v>176</v>
      </c>
      <c r="M167" s="25">
        <v>505.61</v>
      </c>
      <c r="N167" s="25">
        <f t="shared" si="2"/>
        <v>616.8442</v>
      </c>
    </row>
    <row r="168" spans="2:14" ht="84" x14ac:dyDescent="0.35">
      <c r="B168" s="20" t="s">
        <v>1102</v>
      </c>
      <c r="C168" s="20" t="s">
        <v>1103</v>
      </c>
      <c r="D168" s="20" t="s">
        <v>1130</v>
      </c>
      <c r="E168" s="20" t="s">
        <v>1131</v>
      </c>
      <c r="F168" s="20" t="s">
        <v>1132</v>
      </c>
      <c r="G168" s="20" t="s">
        <v>997</v>
      </c>
      <c r="H168" s="20" t="s">
        <v>718</v>
      </c>
      <c r="I168" s="21" t="s">
        <v>1107</v>
      </c>
      <c r="J168" s="22" t="s">
        <v>33</v>
      </c>
      <c r="K168" s="23">
        <f>L168/1.22*1</f>
        <v>451.63934426229508</v>
      </c>
      <c r="L168" s="26">
        <v>551</v>
      </c>
      <c r="M168" s="25">
        <v>456.43</v>
      </c>
      <c r="N168" s="25">
        <f t="shared" si="2"/>
        <v>556.84460000000001</v>
      </c>
    </row>
    <row r="169" spans="2:14" ht="48" x14ac:dyDescent="0.35">
      <c r="B169" s="20" t="s">
        <v>1102</v>
      </c>
      <c r="C169" s="20" t="s">
        <v>1103</v>
      </c>
      <c r="D169" s="20" t="s">
        <v>1130</v>
      </c>
      <c r="E169" s="20" t="s">
        <v>1133</v>
      </c>
      <c r="F169" s="20" t="s">
        <v>1134</v>
      </c>
      <c r="G169" s="20" t="s">
        <v>997</v>
      </c>
      <c r="H169" s="20" t="s">
        <v>718</v>
      </c>
      <c r="I169" s="21" t="s">
        <v>1110</v>
      </c>
      <c r="J169" s="22" t="s">
        <v>33</v>
      </c>
      <c r="K169" s="23">
        <f>L169/1.22*1</f>
        <v>151.63934426229508</v>
      </c>
      <c r="L169" s="26">
        <v>185</v>
      </c>
      <c r="M169" s="25">
        <v>385.12</v>
      </c>
      <c r="N169" s="25">
        <f t="shared" si="2"/>
        <v>469.84640000000002</v>
      </c>
    </row>
    <row r="170" spans="2:14" ht="60" x14ac:dyDescent="0.35">
      <c r="B170" s="20" t="s">
        <v>1102</v>
      </c>
      <c r="C170" s="20" t="s">
        <v>1103</v>
      </c>
      <c r="D170" s="20" t="s">
        <v>1135</v>
      </c>
      <c r="E170" s="20" t="s">
        <v>1136</v>
      </c>
      <c r="F170" s="20" t="s">
        <v>1137</v>
      </c>
      <c r="G170" s="20" t="s">
        <v>997</v>
      </c>
      <c r="H170" s="20" t="s">
        <v>718</v>
      </c>
      <c r="I170" s="21" t="s">
        <v>1107</v>
      </c>
      <c r="J170" s="22" t="s">
        <v>33</v>
      </c>
      <c r="K170" s="23">
        <f>L170/1.22*1</f>
        <v>1013.9344262295082</v>
      </c>
      <c r="L170" s="26">
        <v>1237</v>
      </c>
      <c r="M170" s="25">
        <v>377.74</v>
      </c>
      <c r="N170" s="25">
        <f t="shared" si="2"/>
        <v>460.84280000000001</v>
      </c>
    </row>
    <row r="171" spans="2:14" ht="60" x14ac:dyDescent="0.35">
      <c r="B171" s="20" t="s">
        <v>1102</v>
      </c>
      <c r="C171" s="20" t="s">
        <v>1103</v>
      </c>
      <c r="D171" s="20" t="s">
        <v>1138</v>
      </c>
      <c r="E171" s="20" t="s">
        <v>1139</v>
      </c>
      <c r="F171" s="20" t="s">
        <v>1140</v>
      </c>
      <c r="G171" s="20" t="s">
        <v>997</v>
      </c>
      <c r="H171" s="20" t="s">
        <v>718</v>
      </c>
      <c r="I171" s="21" t="s">
        <v>1110</v>
      </c>
      <c r="J171" s="22" t="s">
        <v>33</v>
      </c>
      <c r="K171" s="23">
        <f>L171/1.22*1</f>
        <v>240.1639344262295</v>
      </c>
      <c r="L171" s="26">
        <v>293</v>
      </c>
      <c r="M171" s="25">
        <v>356.43</v>
      </c>
      <c r="N171" s="25">
        <f t="shared" si="2"/>
        <v>434.84460000000001</v>
      </c>
    </row>
    <row r="172" spans="2:14" ht="48" x14ac:dyDescent="0.35">
      <c r="B172" s="20" t="s">
        <v>1102</v>
      </c>
      <c r="C172" s="20" t="s">
        <v>1103</v>
      </c>
      <c r="D172" s="20" t="s">
        <v>1141</v>
      </c>
      <c r="E172" s="20" t="s">
        <v>1142</v>
      </c>
      <c r="F172" s="20" t="s">
        <v>1143</v>
      </c>
      <c r="G172" s="20" t="s">
        <v>997</v>
      </c>
      <c r="H172" s="20" t="s">
        <v>718</v>
      </c>
      <c r="I172" s="21" t="s">
        <v>1107</v>
      </c>
      <c r="J172" s="22" t="s">
        <v>33</v>
      </c>
      <c r="K172" s="23">
        <f>L172/1.22*1</f>
        <v>479.50819672131149</v>
      </c>
      <c r="L172" s="26">
        <v>585</v>
      </c>
      <c r="M172" s="25">
        <v>490.86</v>
      </c>
      <c r="N172" s="25">
        <f t="shared" si="2"/>
        <v>598.8492</v>
      </c>
    </row>
    <row r="173" spans="2:14" ht="96" x14ac:dyDescent="0.35">
      <c r="B173" s="20" t="s">
        <v>1102</v>
      </c>
      <c r="C173" s="20" t="s">
        <v>1103</v>
      </c>
      <c r="D173" s="20" t="s">
        <v>1141</v>
      </c>
      <c r="E173" s="20" t="s">
        <v>1144</v>
      </c>
      <c r="F173" s="20" t="s">
        <v>1145</v>
      </c>
      <c r="G173" s="20" t="s">
        <v>997</v>
      </c>
      <c r="H173" s="20" t="s">
        <v>718</v>
      </c>
      <c r="I173" s="21" t="s">
        <v>1107</v>
      </c>
      <c r="J173" s="22" t="s">
        <v>33</v>
      </c>
      <c r="K173" s="23">
        <f>L173/1.22*1</f>
        <v>479.50819672131149</v>
      </c>
      <c r="L173" s="26">
        <v>585</v>
      </c>
      <c r="M173" s="25">
        <v>558.89</v>
      </c>
      <c r="N173" s="25">
        <f t="shared" si="2"/>
        <v>681.84579999999994</v>
      </c>
    </row>
    <row r="174" spans="2:14" ht="84" x14ac:dyDescent="0.35">
      <c r="B174" s="20" t="s">
        <v>1102</v>
      </c>
      <c r="C174" s="20" t="s">
        <v>1103</v>
      </c>
      <c r="D174" s="20" t="s">
        <v>1141</v>
      </c>
      <c r="E174" s="20" t="s">
        <v>1146</v>
      </c>
      <c r="F174" s="20" t="s">
        <v>1147</v>
      </c>
      <c r="G174" s="20" t="s">
        <v>997</v>
      </c>
      <c r="H174" s="20" t="s">
        <v>718</v>
      </c>
      <c r="I174" s="21" t="s">
        <v>1107</v>
      </c>
      <c r="J174" s="22" t="s">
        <v>33</v>
      </c>
      <c r="K174" s="23">
        <f>L174/1.22*1</f>
        <v>297.5409836065574</v>
      </c>
      <c r="L174" s="26">
        <v>363</v>
      </c>
      <c r="M174" s="25">
        <v>448.23</v>
      </c>
      <c r="N174" s="25">
        <f t="shared" si="2"/>
        <v>546.84059999999999</v>
      </c>
    </row>
    <row r="175" spans="2:14" ht="84" x14ac:dyDescent="0.35">
      <c r="B175" s="20" t="s">
        <v>1102</v>
      </c>
      <c r="C175" s="20" t="s">
        <v>1103</v>
      </c>
      <c r="D175" s="20" t="s">
        <v>1148</v>
      </c>
      <c r="E175" s="20" t="s">
        <v>1149</v>
      </c>
      <c r="F175" s="20" t="s">
        <v>1150</v>
      </c>
      <c r="G175" s="20" t="s">
        <v>997</v>
      </c>
      <c r="H175" s="20" t="s">
        <v>718</v>
      </c>
      <c r="I175" s="21" t="s">
        <v>1110</v>
      </c>
      <c r="J175" s="22" t="s">
        <v>33</v>
      </c>
      <c r="K175" s="23">
        <f>L175/1.22*1</f>
        <v>202.45901639344262</v>
      </c>
      <c r="L175" s="26">
        <v>247</v>
      </c>
      <c r="M175" s="25">
        <v>503.15</v>
      </c>
      <c r="N175" s="25">
        <f t="shared" si="2"/>
        <v>613.84299999999996</v>
      </c>
    </row>
    <row r="176" spans="2:14" ht="48" x14ac:dyDescent="0.35">
      <c r="B176" s="20" t="s">
        <v>1102</v>
      </c>
      <c r="C176" s="20" t="s">
        <v>1103</v>
      </c>
      <c r="D176" s="20" t="s">
        <v>1151</v>
      </c>
      <c r="E176" s="20" t="s">
        <v>1152</v>
      </c>
      <c r="F176" s="20" t="s">
        <v>1153</v>
      </c>
      <c r="G176" s="20" t="s">
        <v>997</v>
      </c>
      <c r="H176" s="20" t="s">
        <v>718</v>
      </c>
      <c r="I176" s="21" t="s">
        <v>1107</v>
      </c>
      <c r="J176" s="22" t="s">
        <v>33</v>
      </c>
      <c r="K176" s="23">
        <f>L176/1.22*1</f>
        <v>272.95081967213116</v>
      </c>
      <c r="L176" s="26">
        <v>333</v>
      </c>
      <c r="M176" s="25">
        <v>444.13</v>
      </c>
      <c r="N176" s="25">
        <f t="shared" si="2"/>
        <v>541.83859999999993</v>
      </c>
    </row>
    <row r="177" spans="2:14" ht="84" x14ac:dyDescent="0.35">
      <c r="B177" s="20" t="s">
        <v>1102</v>
      </c>
      <c r="C177" s="20" t="s">
        <v>1103</v>
      </c>
      <c r="D177" s="20" t="s">
        <v>1154</v>
      </c>
      <c r="E177" s="20" t="s">
        <v>1155</v>
      </c>
      <c r="F177" s="20" t="s">
        <v>1156</v>
      </c>
      <c r="G177" s="20" t="s">
        <v>997</v>
      </c>
      <c r="H177" s="20" t="s">
        <v>718</v>
      </c>
      <c r="I177" s="21" t="s">
        <v>1107</v>
      </c>
      <c r="J177" s="22" t="s">
        <v>33</v>
      </c>
      <c r="K177" s="23">
        <f>L177/1.22*1</f>
        <v>543.44262295081967</v>
      </c>
      <c r="L177" s="26">
        <v>663</v>
      </c>
      <c r="M177" s="25">
        <v>574.46</v>
      </c>
      <c r="N177" s="25">
        <f t="shared" si="2"/>
        <v>700.84120000000007</v>
      </c>
    </row>
    <row r="178" spans="2:14" ht="84" x14ac:dyDescent="0.35">
      <c r="B178" s="20" t="s">
        <v>1102</v>
      </c>
      <c r="C178" s="20" t="s">
        <v>1157</v>
      </c>
      <c r="D178" s="20" t="s">
        <v>1158</v>
      </c>
      <c r="E178" s="20" t="s">
        <v>1159</v>
      </c>
      <c r="F178" s="20" t="s">
        <v>1160</v>
      </c>
      <c r="G178" s="20" t="s">
        <v>997</v>
      </c>
      <c r="H178" s="20" t="s">
        <v>718</v>
      </c>
      <c r="I178" s="21" t="s">
        <v>1110</v>
      </c>
      <c r="J178" s="22" t="s">
        <v>33</v>
      </c>
      <c r="K178" s="23">
        <f>L178/1.22*1</f>
        <v>205.73770491803279</v>
      </c>
      <c r="L178" s="26">
        <v>251</v>
      </c>
      <c r="M178" s="25">
        <v>521.17999999999995</v>
      </c>
      <c r="N178" s="25">
        <f t="shared" si="2"/>
        <v>635.8395999999999</v>
      </c>
    </row>
    <row r="179" spans="2:14" ht="84" x14ac:dyDescent="0.35">
      <c r="B179" s="20" t="s">
        <v>1102</v>
      </c>
      <c r="C179" s="20" t="s">
        <v>1161</v>
      </c>
      <c r="D179" s="20" t="s">
        <v>1162</v>
      </c>
      <c r="E179" s="20" t="s">
        <v>1163</v>
      </c>
      <c r="F179" s="20" t="s">
        <v>1164</v>
      </c>
      <c r="G179" s="20" t="s">
        <v>997</v>
      </c>
      <c r="H179" s="20" t="s">
        <v>718</v>
      </c>
      <c r="I179" s="21" t="s">
        <v>1107</v>
      </c>
      <c r="J179" s="22" t="s">
        <v>33</v>
      </c>
      <c r="K179" s="23">
        <f>L179/1.22*1</f>
        <v>496.72131147540983</v>
      </c>
      <c r="L179" s="26">
        <v>606</v>
      </c>
      <c r="M179" s="25">
        <v>543.32000000000005</v>
      </c>
      <c r="N179" s="25">
        <f t="shared" si="2"/>
        <v>662.85040000000004</v>
      </c>
    </row>
    <row r="180" spans="2:14" ht="84" x14ac:dyDescent="0.35">
      <c r="B180" s="20" t="s">
        <v>1102</v>
      </c>
      <c r="C180" s="20" t="s">
        <v>1161</v>
      </c>
      <c r="D180" s="20" t="s">
        <v>1162</v>
      </c>
      <c r="E180" s="20" t="s">
        <v>1165</v>
      </c>
      <c r="F180" s="20" t="s">
        <v>1166</v>
      </c>
      <c r="G180" s="20" t="s">
        <v>997</v>
      </c>
      <c r="H180" s="20" t="s">
        <v>718</v>
      </c>
      <c r="I180" s="21" t="s">
        <v>1107</v>
      </c>
      <c r="J180" s="22" t="s">
        <v>33</v>
      </c>
      <c r="K180" s="23">
        <f>L180/1.22*1</f>
        <v>445.90163934426232</v>
      </c>
      <c r="L180" s="26">
        <v>544</v>
      </c>
      <c r="M180" s="25">
        <v>474.46</v>
      </c>
      <c r="N180" s="25">
        <f t="shared" si="2"/>
        <v>578.84119999999996</v>
      </c>
    </row>
    <row r="181" spans="2:14" ht="72" x14ac:dyDescent="0.35">
      <c r="B181" s="20" t="s">
        <v>1102</v>
      </c>
      <c r="C181" s="20" t="s">
        <v>1161</v>
      </c>
      <c r="D181" s="20" t="s">
        <v>1162</v>
      </c>
      <c r="E181" s="20" t="s">
        <v>1167</v>
      </c>
      <c r="F181" s="20" t="s">
        <v>1168</v>
      </c>
      <c r="G181" s="20" t="s">
        <v>997</v>
      </c>
      <c r="H181" s="20" t="s">
        <v>718</v>
      </c>
      <c r="I181" s="21" t="s">
        <v>1107</v>
      </c>
      <c r="J181" s="22" t="s">
        <v>33</v>
      </c>
      <c r="K181" s="23">
        <f>L181/1.22*1</f>
        <v>1537.704918032787</v>
      </c>
      <c r="L181" s="26">
        <v>1876</v>
      </c>
      <c r="M181" s="25">
        <v>468.72</v>
      </c>
      <c r="N181" s="25">
        <f t="shared" si="2"/>
        <v>571.83839999999998</v>
      </c>
    </row>
    <row r="182" spans="2:14" ht="84" x14ac:dyDescent="0.35">
      <c r="B182" s="20" t="s">
        <v>1102</v>
      </c>
      <c r="C182" s="20" t="s">
        <v>1157</v>
      </c>
      <c r="D182" s="20" t="s">
        <v>1169</v>
      </c>
      <c r="E182" s="20" t="s">
        <v>1170</v>
      </c>
      <c r="F182" s="20" t="s">
        <v>1171</v>
      </c>
      <c r="G182" s="20" t="s">
        <v>997</v>
      </c>
      <c r="H182" s="20" t="s">
        <v>718</v>
      </c>
      <c r="I182" s="21" t="s">
        <v>1110</v>
      </c>
      <c r="J182" s="22" t="s">
        <v>33</v>
      </c>
      <c r="K182" s="23">
        <f>L182/1.22*1</f>
        <v>468.03278688524591</v>
      </c>
      <c r="L182" s="26">
        <v>571</v>
      </c>
      <c r="M182" s="25">
        <v>516.27</v>
      </c>
      <c r="N182" s="25">
        <f t="shared" si="2"/>
        <v>629.84939999999995</v>
      </c>
    </row>
    <row r="183" spans="2:14" ht="84" x14ac:dyDescent="0.35">
      <c r="B183" s="20" t="s">
        <v>1102</v>
      </c>
      <c r="C183" s="20" t="s">
        <v>1157</v>
      </c>
      <c r="D183" s="20" t="s">
        <v>1169</v>
      </c>
      <c r="E183" s="20" t="s">
        <v>1172</v>
      </c>
      <c r="F183" s="20" t="s">
        <v>1173</v>
      </c>
      <c r="G183" s="20" t="s">
        <v>997</v>
      </c>
      <c r="H183" s="20" t="s">
        <v>718</v>
      </c>
      <c r="I183" s="21" t="s">
        <v>1107</v>
      </c>
      <c r="J183" s="22" t="s">
        <v>33</v>
      </c>
      <c r="K183" s="23">
        <f>L183/1.22*1</f>
        <v>566.39344262295083</v>
      </c>
      <c r="L183" s="26">
        <v>691</v>
      </c>
      <c r="M183" s="25">
        <v>503.97</v>
      </c>
      <c r="N183" s="25">
        <f t="shared" si="2"/>
        <v>614.84339999999997</v>
      </c>
    </row>
    <row r="184" spans="2:14" ht="84" x14ac:dyDescent="0.35">
      <c r="B184" s="20" t="s">
        <v>1102</v>
      </c>
      <c r="C184" s="20" t="s">
        <v>1157</v>
      </c>
      <c r="D184" s="20" t="s">
        <v>1169</v>
      </c>
      <c r="E184" s="20" t="s">
        <v>1174</v>
      </c>
      <c r="F184" s="20" t="s">
        <v>1175</v>
      </c>
      <c r="G184" s="20" t="s">
        <v>997</v>
      </c>
      <c r="H184" s="20" t="s">
        <v>718</v>
      </c>
      <c r="I184" s="21" t="s">
        <v>1107</v>
      </c>
      <c r="J184" s="22" t="s">
        <v>33</v>
      </c>
      <c r="K184" s="23">
        <f>L184/1.22*1</f>
        <v>444.26229508196724</v>
      </c>
      <c r="L184" s="26">
        <v>542</v>
      </c>
      <c r="M184" s="25">
        <v>429.38</v>
      </c>
      <c r="N184" s="25">
        <f t="shared" si="2"/>
        <v>523.84360000000004</v>
      </c>
    </row>
    <row r="185" spans="2:14" ht="48" x14ac:dyDescent="0.35">
      <c r="B185" s="20" t="s">
        <v>1102</v>
      </c>
      <c r="C185" s="20" t="s">
        <v>1157</v>
      </c>
      <c r="D185" s="20" t="s">
        <v>1169</v>
      </c>
      <c r="E185" s="20" t="s">
        <v>1176</v>
      </c>
      <c r="F185" s="20" t="s">
        <v>1177</v>
      </c>
      <c r="G185" s="20" t="s">
        <v>997</v>
      </c>
      <c r="H185" s="20" t="s">
        <v>718</v>
      </c>
      <c r="I185" s="21" t="s">
        <v>1107</v>
      </c>
      <c r="J185" s="22" t="s">
        <v>33</v>
      </c>
      <c r="K185" s="23">
        <f>L185/1.22*1</f>
        <v>734.42622950819668</v>
      </c>
      <c r="L185" s="26">
        <v>896</v>
      </c>
      <c r="M185" s="25">
        <v>332.66</v>
      </c>
      <c r="N185" s="25">
        <f t="shared" si="2"/>
        <v>405.84520000000003</v>
      </c>
    </row>
    <row r="186" spans="2:14" ht="60" x14ac:dyDescent="0.35">
      <c r="B186" s="20" t="s">
        <v>1102</v>
      </c>
      <c r="C186" s="20" t="s">
        <v>1157</v>
      </c>
      <c r="D186" s="20" t="s">
        <v>1178</v>
      </c>
      <c r="E186" s="20" t="s">
        <v>1179</v>
      </c>
      <c r="F186" s="20" t="s">
        <v>1180</v>
      </c>
      <c r="G186" s="20" t="s">
        <v>997</v>
      </c>
      <c r="H186" s="20" t="s">
        <v>718</v>
      </c>
      <c r="I186" s="21" t="s">
        <v>1110</v>
      </c>
      <c r="J186" s="22" t="s">
        <v>33</v>
      </c>
      <c r="K186" s="23">
        <f>L186/1.22*1</f>
        <v>258.19672131147541</v>
      </c>
      <c r="L186" s="26">
        <v>315</v>
      </c>
      <c r="M186" s="25">
        <v>563.80999999999995</v>
      </c>
      <c r="N186" s="25">
        <f t="shared" si="2"/>
        <v>687.84819999999991</v>
      </c>
    </row>
    <row r="187" spans="2:14" ht="60" x14ac:dyDescent="0.35">
      <c r="B187" s="20" t="s">
        <v>1102</v>
      </c>
      <c r="C187" s="20" t="s">
        <v>1157</v>
      </c>
      <c r="D187" s="20" t="s">
        <v>1178</v>
      </c>
      <c r="E187" s="20" t="s">
        <v>1181</v>
      </c>
      <c r="F187" s="20" t="s">
        <v>1182</v>
      </c>
      <c r="G187" s="20" t="s">
        <v>997</v>
      </c>
      <c r="H187" s="20" t="s">
        <v>718</v>
      </c>
      <c r="I187" s="21" t="s">
        <v>1107</v>
      </c>
      <c r="J187" s="22" t="s">
        <v>33</v>
      </c>
      <c r="K187" s="23">
        <f>L187/1.22*1</f>
        <v>168.85245901639345</v>
      </c>
      <c r="L187" s="26">
        <v>206</v>
      </c>
      <c r="M187" s="25">
        <v>328.56</v>
      </c>
      <c r="N187" s="25">
        <f t="shared" si="2"/>
        <v>400.84319999999997</v>
      </c>
    </row>
    <row r="188" spans="2:14" ht="84" x14ac:dyDescent="0.35">
      <c r="B188" s="20" t="s">
        <v>1102</v>
      </c>
      <c r="C188" s="20" t="s">
        <v>1157</v>
      </c>
      <c r="D188" s="20" t="s">
        <v>1183</v>
      </c>
      <c r="E188" s="20" t="s">
        <v>1184</v>
      </c>
      <c r="F188" s="20" t="s">
        <v>1185</v>
      </c>
      <c r="G188" s="20" t="s">
        <v>997</v>
      </c>
      <c r="H188" s="20" t="s">
        <v>718</v>
      </c>
      <c r="I188" s="21" t="s">
        <v>1110</v>
      </c>
      <c r="J188" s="22" t="s">
        <v>33</v>
      </c>
      <c r="K188" s="23">
        <f>L188/1.22*1</f>
        <v>227.86885245901641</v>
      </c>
      <c r="L188" s="26">
        <v>278</v>
      </c>
      <c r="M188" s="25">
        <v>406.43</v>
      </c>
      <c r="N188" s="25">
        <f t="shared" si="2"/>
        <v>495.84460000000001</v>
      </c>
    </row>
    <row r="189" spans="2:14" ht="48" x14ac:dyDescent="0.35">
      <c r="B189" s="20" t="s">
        <v>1102</v>
      </c>
      <c r="C189" s="20" t="s">
        <v>1157</v>
      </c>
      <c r="D189" s="20" t="s">
        <v>1183</v>
      </c>
      <c r="E189" s="20" t="s">
        <v>1186</v>
      </c>
      <c r="F189" s="20" t="s">
        <v>1187</v>
      </c>
      <c r="G189" s="20" t="s">
        <v>997</v>
      </c>
      <c r="H189" s="20" t="s">
        <v>718</v>
      </c>
      <c r="I189" s="21" t="s">
        <v>1110</v>
      </c>
      <c r="J189" s="22" t="s">
        <v>33</v>
      </c>
      <c r="K189" s="23">
        <f>L189/1.22*1</f>
        <v>250.81967213114754</v>
      </c>
      <c r="L189" s="26">
        <v>306</v>
      </c>
      <c r="M189" s="25">
        <v>453.15</v>
      </c>
      <c r="N189" s="25">
        <f t="shared" si="2"/>
        <v>552.84299999999996</v>
      </c>
    </row>
    <row r="190" spans="2:14" ht="60" x14ac:dyDescent="0.35">
      <c r="B190" s="20" t="s">
        <v>1102</v>
      </c>
      <c r="C190" s="20" t="s">
        <v>1157</v>
      </c>
      <c r="D190" s="20" t="s">
        <v>1183</v>
      </c>
      <c r="E190" s="20" t="s">
        <v>1188</v>
      </c>
      <c r="F190" s="20" t="s">
        <v>1189</v>
      </c>
      <c r="G190" s="20" t="s">
        <v>997</v>
      </c>
      <c r="H190" s="20" t="s">
        <v>718</v>
      </c>
      <c r="I190" s="21" t="s">
        <v>1107</v>
      </c>
      <c r="J190" s="22" t="s">
        <v>33</v>
      </c>
      <c r="K190" s="23">
        <f>L190/1.22*1</f>
        <v>227.86885245901641</v>
      </c>
      <c r="L190" s="26">
        <v>278</v>
      </c>
      <c r="M190" s="25">
        <v>328.56</v>
      </c>
      <c r="N190" s="25">
        <f t="shared" si="2"/>
        <v>400.84319999999997</v>
      </c>
    </row>
    <row r="191" spans="2:14" ht="84" x14ac:dyDescent="0.35">
      <c r="B191" s="20" t="s">
        <v>1102</v>
      </c>
      <c r="C191" s="20" t="s">
        <v>1157</v>
      </c>
      <c r="D191" s="20" t="s">
        <v>1183</v>
      </c>
      <c r="E191" s="20" t="s">
        <v>1190</v>
      </c>
      <c r="F191" s="20" t="s">
        <v>1191</v>
      </c>
      <c r="G191" s="20" t="s">
        <v>997</v>
      </c>
      <c r="H191" s="20" t="s">
        <v>718</v>
      </c>
      <c r="I191" s="21" t="s">
        <v>1110</v>
      </c>
      <c r="J191" s="22" t="s">
        <v>33</v>
      </c>
      <c r="K191" s="23">
        <f>L191/1.22*1</f>
        <v>177.86885245901641</v>
      </c>
      <c r="L191" s="26">
        <v>217</v>
      </c>
      <c r="M191" s="25">
        <v>417.91</v>
      </c>
      <c r="N191" s="25">
        <f t="shared" si="2"/>
        <v>509.85020000000003</v>
      </c>
    </row>
    <row r="192" spans="2:14" ht="60" x14ac:dyDescent="0.35">
      <c r="B192" s="20" t="s">
        <v>1102</v>
      </c>
      <c r="C192" s="20" t="s">
        <v>1157</v>
      </c>
      <c r="D192" s="20" t="s">
        <v>1183</v>
      </c>
      <c r="E192" s="20" t="s">
        <v>1192</v>
      </c>
      <c r="F192" s="20" t="s">
        <v>1193</v>
      </c>
      <c r="G192" s="20" t="s">
        <v>997</v>
      </c>
      <c r="H192" s="20" t="s">
        <v>718</v>
      </c>
      <c r="I192" s="21" t="s">
        <v>1110</v>
      </c>
      <c r="J192" s="22" t="s">
        <v>33</v>
      </c>
      <c r="K192" s="23">
        <f>L192/1.22*1</f>
        <v>157.37704918032787</v>
      </c>
      <c r="L192" s="26">
        <v>192</v>
      </c>
      <c r="M192" s="25">
        <v>454.79</v>
      </c>
      <c r="N192" s="25">
        <f t="shared" si="2"/>
        <v>554.84379999999999</v>
      </c>
    </row>
    <row r="193" spans="2:14" ht="84" x14ac:dyDescent="0.35">
      <c r="B193" s="20" t="s">
        <v>1102</v>
      </c>
      <c r="C193" s="20" t="s">
        <v>1157</v>
      </c>
      <c r="D193" s="20" t="s">
        <v>1183</v>
      </c>
      <c r="E193" s="20" t="s">
        <v>1194</v>
      </c>
      <c r="F193" s="20" t="s">
        <v>1195</v>
      </c>
      <c r="G193" s="20" t="s">
        <v>997</v>
      </c>
      <c r="H193" s="20" t="s">
        <v>718</v>
      </c>
      <c r="I193" s="21" t="s">
        <v>1107</v>
      </c>
      <c r="J193" s="22" t="s">
        <v>33</v>
      </c>
      <c r="K193" s="23">
        <f>L193/1.22*1</f>
        <v>199.18032786885246</v>
      </c>
      <c r="L193" s="26">
        <v>243</v>
      </c>
      <c r="M193" s="25">
        <v>523.64</v>
      </c>
      <c r="N193" s="25">
        <f t="shared" si="2"/>
        <v>638.84079999999994</v>
      </c>
    </row>
    <row r="194" spans="2:14" ht="60" x14ac:dyDescent="0.35">
      <c r="B194" s="20" t="s">
        <v>1102</v>
      </c>
      <c r="C194" s="20" t="s">
        <v>1157</v>
      </c>
      <c r="D194" s="20" t="s">
        <v>1196</v>
      </c>
      <c r="E194" s="20" t="s">
        <v>1197</v>
      </c>
      <c r="F194" s="20" t="s">
        <v>1198</v>
      </c>
      <c r="G194" s="20" t="s">
        <v>997</v>
      </c>
      <c r="H194" s="20" t="s">
        <v>718</v>
      </c>
      <c r="I194" s="21" t="s">
        <v>1107</v>
      </c>
      <c r="J194" s="22" t="s">
        <v>33</v>
      </c>
      <c r="K194" s="23">
        <f>L194/1.22*1</f>
        <v>438.52459016393442</v>
      </c>
      <c r="L194" s="26">
        <v>535</v>
      </c>
      <c r="M194" s="25">
        <v>399.05</v>
      </c>
      <c r="N194" s="25">
        <f t="shared" si="2"/>
        <v>486.84100000000001</v>
      </c>
    </row>
    <row r="195" spans="2:14" ht="60" x14ac:dyDescent="0.35">
      <c r="B195" s="20" t="s">
        <v>1102</v>
      </c>
      <c r="C195" s="20" t="s">
        <v>1157</v>
      </c>
      <c r="D195" s="20" t="s">
        <v>1199</v>
      </c>
      <c r="E195" s="20" t="s">
        <v>1200</v>
      </c>
      <c r="F195" s="20" t="s">
        <v>1201</v>
      </c>
      <c r="G195" s="20" t="s">
        <v>997</v>
      </c>
      <c r="H195" s="20" t="s">
        <v>718</v>
      </c>
      <c r="I195" s="21" t="s">
        <v>1107</v>
      </c>
      <c r="J195" s="22" t="s">
        <v>33</v>
      </c>
      <c r="K195" s="23">
        <f>L195/1.22*1</f>
        <v>331.96721311475409</v>
      </c>
      <c r="L195" s="26">
        <v>405</v>
      </c>
      <c r="M195" s="25">
        <v>320.36</v>
      </c>
      <c r="N195" s="25">
        <f t="shared" si="2"/>
        <v>390.83920000000001</v>
      </c>
    </row>
    <row r="196" spans="2:14" ht="72" x14ac:dyDescent="0.35">
      <c r="B196" s="20" t="s">
        <v>1102</v>
      </c>
      <c r="C196" s="20" t="s">
        <v>1157</v>
      </c>
      <c r="D196" s="20" t="s">
        <v>1199</v>
      </c>
      <c r="E196" s="20" t="s">
        <v>1202</v>
      </c>
      <c r="F196" s="20" t="s">
        <v>1203</v>
      </c>
      <c r="G196" s="20" t="s">
        <v>997</v>
      </c>
      <c r="H196" s="20" t="s">
        <v>718</v>
      </c>
      <c r="I196" s="21" t="s">
        <v>1110</v>
      </c>
      <c r="J196" s="22" t="s">
        <v>33</v>
      </c>
      <c r="K196" s="23">
        <f>L196/1.22*1</f>
        <v>238.52459016393442</v>
      </c>
      <c r="L196" s="26">
        <v>291</v>
      </c>
      <c r="M196" s="25">
        <v>488.4</v>
      </c>
      <c r="N196" s="25">
        <f t="shared" si="2"/>
        <v>595.84799999999996</v>
      </c>
    </row>
    <row r="197" spans="2:14" ht="60" x14ac:dyDescent="0.35">
      <c r="B197" s="20" t="s">
        <v>1102</v>
      </c>
      <c r="C197" s="20" t="s">
        <v>1157</v>
      </c>
      <c r="D197" s="20" t="s">
        <v>1199</v>
      </c>
      <c r="E197" s="20" t="s">
        <v>1204</v>
      </c>
      <c r="F197" s="20" t="s">
        <v>1205</v>
      </c>
      <c r="G197" s="20" t="s">
        <v>997</v>
      </c>
      <c r="H197" s="20" t="s">
        <v>718</v>
      </c>
      <c r="I197" s="21" t="s">
        <v>1107</v>
      </c>
      <c r="J197" s="22" t="s">
        <v>33</v>
      </c>
      <c r="K197" s="23">
        <f>L197/1.22*1</f>
        <v>276.22950819672133</v>
      </c>
      <c r="L197" s="26">
        <v>337</v>
      </c>
      <c r="M197" s="25">
        <v>335.94</v>
      </c>
      <c r="N197" s="25">
        <f t="shared" si="2"/>
        <v>409.84679999999997</v>
      </c>
    </row>
    <row r="198" spans="2:14" ht="60" x14ac:dyDescent="0.35">
      <c r="B198" s="20" t="s">
        <v>1102</v>
      </c>
      <c r="C198" s="20" t="s">
        <v>1157</v>
      </c>
      <c r="D198" s="20" t="s">
        <v>1206</v>
      </c>
      <c r="E198" s="20" t="s">
        <v>1207</v>
      </c>
      <c r="F198" s="20" t="s">
        <v>1208</v>
      </c>
      <c r="G198" s="20" t="s">
        <v>997</v>
      </c>
      <c r="H198" s="20" t="s">
        <v>718</v>
      </c>
      <c r="I198" s="21" t="s">
        <v>1110</v>
      </c>
      <c r="J198" s="22" t="s">
        <v>33</v>
      </c>
      <c r="K198" s="23">
        <f>L198/1.22*1</f>
        <v>523.77049180327867</v>
      </c>
      <c r="L198" s="26">
        <v>639</v>
      </c>
      <c r="M198" s="25">
        <v>367.91</v>
      </c>
      <c r="N198" s="25">
        <f t="shared" si="2"/>
        <v>448.85020000000003</v>
      </c>
    </row>
    <row r="199" spans="2:14" ht="60" x14ac:dyDescent="0.35">
      <c r="B199" s="20" t="s">
        <v>1102</v>
      </c>
      <c r="C199" s="20" t="s">
        <v>1103</v>
      </c>
      <c r="D199" s="20" t="s">
        <v>1209</v>
      </c>
      <c r="E199" s="20" t="s">
        <v>1210</v>
      </c>
      <c r="F199" s="20" t="s">
        <v>1211</v>
      </c>
      <c r="G199" s="20" t="s">
        <v>997</v>
      </c>
      <c r="H199" s="20" t="s">
        <v>718</v>
      </c>
      <c r="I199" s="21" t="s">
        <v>1107</v>
      </c>
      <c r="J199" s="22" t="s">
        <v>33</v>
      </c>
      <c r="K199" s="23">
        <f>L199/1.22*1</f>
        <v>246.72131147540983</v>
      </c>
      <c r="L199" s="26">
        <v>301</v>
      </c>
      <c r="M199" s="25">
        <v>304.79000000000002</v>
      </c>
      <c r="N199" s="25">
        <f t="shared" si="2"/>
        <v>371.84380000000004</v>
      </c>
    </row>
    <row r="200" spans="2:14" ht="60" x14ac:dyDescent="0.35">
      <c r="B200" s="20" t="s">
        <v>1102</v>
      </c>
      <c r="C200" s="20" t="s">
        <v>1103</v>
      </c>
      <c r="D200" s="20" t="s">
        <v>1209</v>
      </c>
      <c r="E200" s="20" t="s">
        <v>1212</v>
      </c>
      <c r="F200" s="20" t="s">
        <v>1213</v>
      </c>
      <c r="G200" s="20" t="s">
        <v>997</v>
      </c>
      <c r="H200" s="20" t="s">
        <v>718</v>
      </c>
      <c r="I200" s="21" t="s">
        <v>1107</v>
      </c>
      <c r="J200" s="22" t="s">
        <v>33</v>
      </c>
      <c r="K200" s="23">
        <f>L200/1.22*1</f>
        <v>600</v>
      </c>
      <c r="L200" s="26">
        <v>732</v>
      </c>
      <c r="M200" s="25">
        <v>492.5</v>
      </c>
      <c r="N200" s="25">
        <f t="shared" si="2"/>
        <v>600.85</v>
      </c>
    </row>
    <row r="201" spans="2:14" ht="72" x14ac:dyDescent="0.35">
      <c r="B201" s="20" t="s">
        <v>1102</v>
      </c>
      <c r="C201" s="20" t="s">
        <v>1103</v>
      </c>
      <c r="D201" s="20" t="s">
        <v>1214</v>
      </c>
      <c r="E201" s="20" t="s">
        <v>1215</v>
      </c>
      <c r="F201" s="20" t="s">
        <v>1216</v>
      </c>
      <c r="G201" s="20" t="s">
        <v>997</v>
      </c>
      <c r="H201" s="20" t="s">
        <v>718</v>
      </c>
      <c r="I201" s="21" t="s">
        <v>1110</v>
      </c>
      <c r="J201" s="22" t="s">
        <v>33</v>
      </c>
      <c r="K201" s="23">
        <f>L201/1.22*1</f>
        <v>255.73770491803279</v>
      </c>
      <c r="L201" s="26">
        <v>312</v>
      </c>
      <c r="M201" s="25">
        <v>328.56</v>
      </c>
      <c r="N201" s="25">
        <f t="shared" si="2"/>
        <v>400.84319999999997</v>
      </c>
    </row>
    <row r="202" spans="2:14" ht="60" x14ac:dyDescent="0.35">
      <c r="B202" s="20" t="s">
        <v>1102</v>
      </c>
      <c r="C202" s="20" t="s">
        <v>1103</v>
      </c>
      <c r="D202" s="20" t="s">
        <v>1214</v>
      </c>
      <c r="E202" s="20" t="s">
        <v>1217</v>
      </c>
      <c r="F202" s="20" t="s">
        <v>1218</v>
      </c>
      <c r="G202" s="20" t="s">
        <v>997</v>
      </c>
      <c r="H202" s="20" t="s">
        <v>718</v>
      </c>
      <c r="I202" s="21" t="s">
        <v>1110</v>
      </c>
      <c r="J202" s="22" t="s">
        <v>33</v>
      </c>
      <c r="K202" s="23">
        <f>L202/1.22*1</f>
        <v>205.73770491803279</v>
      </c>
      <c r="L202" s="26">
        <v>251</v>
      </c>
      <c r="M202" s="25">
        <v>390.86</v>
      </c>
      <c r="N202" s="25">
        <f t="shared" ref="N202:N265" si="3">M202*1.22</f>
        <v>476.8492</v>
      </c>
    </row>
    <row r="203" spans="2:14" ht="72" x14ac:dyDescent="0.35">
      <c r="B203" s="20" t="s">
        <v>1102</v>
      </c>
      <c r="C203" s="20" t="s">
        <v>1103</v>
      </c>
      <c r="D203" s="20" t="s">
        <v>1219</v>
      </c>
      <c r="E203" s="20" t="s">
        <v>1220</v>
      </c>
      <c r="F203" s="20" t="s">
        <v>1221</v>
      </c>
      <c r="G203" s="20" t="s">
        <v>997</v>
      </c>
      <c r="H203" s="20" t="s">
        <v>718</v>
      </c>
      <c r="I203" s="21" t="s">
        <v>1110</v>
      </c>
      <c r="J203" s="22" t="s">
        <v>33</v>
      </c>
      <c r="K203" s="23">
        <f>L203/1.22*1</f>
        <v>375.40983606557376</v>
      </c>
      <c r="L203" s="26">
        <v>458</v>
      </c>
      <c r="M203" s="25">
        <v>574.46</v>
      </c>
      <c r="N203" s="25">
        <f t="shared" si="3"/>
        <v>700.84120000000007</v>
      </c>
    </row>
    <row r="204" spans="2:14" ht="72" x14ac:dyDescent="0.35">
      <c r="B204" s="20" t="s">
        <v>1102</v>
      </c>
      <c r="C204" s="20" t="s">
        <v>1103</v>
      </c>
      <c r="D204" s="20" t="s">
        <v>1222</v>
      </c>
      <c r="E204" s="20" t="s">
        <v>1223</v>
      </c>
      <c r="F204" s="20" t="s">
        <v>1224</v>
      </c>
      <c r="G204" s="20" t="s">
        <v>997</v>
      </c>
      <c r="H204" s="20" t="s">
        <v>718</v>
      </c>
      <c r="I204" s="21" t="s">
        <v>1110</v>
      </c>
      <c r="J204" s="22" t="s">
        <v>33</v>
      </c>
      <c r="K204" s="23">
        <f>L204/1.22*1</f>
        <v>194.26229508196721</v>
      </c>
      <c r="L204" s="26">
        <v>237</v>
      </c>
      <c r="M204" s="25">
        <v>492.5</v>
      </c>
      <c r="N204" s="25">
        <f t="shared" si="3"/>
        <v>600.85</v>
      </c>
    </row>
    <row r="205" spans="2:14" ht="72" x14ac:dyDescent="0.35">
      <c r="B205" s="20" t="s">
        <v>1102</v>
      </c>
      <c r="C205" s="20" t="s">
        <v>1103</v>
      </c>
      <c r="D205" s="20" t="s">
        <v>1225</v>
      </c>
      <c r="E205" s="20" t="s">
        <v>1226</v>
      </c>
      <c r="F205" s="20" t="s">
        <v>1227</v>
      </c>
      <c r="G205" s="20" t="s">
        <v>997</v>
      </c>
      <c r="H205" s="20" t="s">
        <v>718</v>
      </c>
      <c r="I205" s="21" t="s">
        <v>1107</v>
      </c>
      <c r="J205" s="22" t="s">
        <v>33</v>
      </c>
      <c r="K205" s="23">
        <f>L205/1.22*1</f>
        <v>371.31147540983608</v>
      </c>
      <c r="L205" s="26">
        <v>453</v>
      </c>
      <c r="M205" s="25">
        <v>410.53</v>
      </c>
      <c r="N205" s="25">
        <f t="shared" si="3"/>
        <v>500.84659999999997</v>
      </c>
    </row>
    <row r="206" spans="2:14" ht="108" x14ac:dyDescent="0.35">
      <c r="B206" s="20" t="s">
        <v>1102</v>
      </c>
      <c r="C206" s="20" t="s">
        <v>1103</v>
      </c>
      <c r="D206" s="20" t="s">
        <v>1228</v>
      </c>
      <c r="E206" s="20" t="s">
        <v>1229</v>
      </c>
      <c r="F206" s="20" t="s">
        <v>1230</v>
      </c>
      <c r="G206" s="20" t="s">
        <v>997</v>
      </c>
      <c r="H206" s="20" t="s">
        <v>718</v>
      </c>
      <c r="I206" s="21" t="s">
        <v>1107</v>
      </c>
      <c r="J206" s="22" t="s">
        <v>33</v>
      </c>
      <c r="K206" s="23">
        <f>L206/1.22*1</f>
        <v>587.70491803278685</v>
      </c>
      <c r="L206" s="26">
        <v>717</v>
      </c>
      <c r="M206" s="25">
        <v>386.76</v>
      </c>
      <c r="N206" s="25">
        <f t="shared" si="3"/>
        <v>471.84719999999999</v>
      </c>
    </row>
    <row r="207" spans="2:14" ht="48" x14ac:dyDescent="0.35">
      <c r="B207" s="20" t="s">
        <v>1102</v>
      </c>
      <c r="C207" s="20" t="s">
        <v>1103</v>
      </c>
      <c r="D207" s="20" t="s">
        <v>1231</v>
      </c>
      <c r="E207" s="20" t="s">
        <v>1232</v>
      </c>
      <c r="F207" s="20" t="s">
        <v>1233</v>
      </c>
      <c r="G207" s="20" t="s">
        <v>997</v>
      </c>
      <c r="H207" s="20" t="s">
        <v>718</v>
      </c>
      <c r="I207" s="21" t="s">
        <v>1107</v>
      </c>
      <c r="J207" s="22" t="s">
        <v>33</v>
      </c>
      <c r="K207" s="23">
        <f>L207/1.22*1</f>
        <v>283.60655737704917</v>
      </c>
      <c r="L207" s="26">
        <v>346</v>
      </c>
      <c r="M207" s="25">
        <v>413.81</v>
      </c>
      <c r="N207" s="25">
        <f t="shared" si="3"/>
        <v>504.84820000000002</v>
      </c>
    </row>
    <row r="208" spans="2:14" ht="72" x14ac:dyDescent="0.35">
      <c r="B208" s="20" t="s">
        <v>1102</v>
      </c>
      <c r="C208" s="20" t="s">
        <v>1103</v>
      </c>
      <c r="D208" s="20" t="s">
        <v>1228</v>
      </c>
      <c r="E208" s="20" t="s">
        <v>1234</v>
      </c>
      <c r="F208" s="20" t="s">
        <v>1235</v>
      </c>
      <c r="G208" s="20" t="s">
        <v>997</v>
      </c>
      <c r="H208" s="20" t="s">
        <v>718</v>
      </c>
      <c r="I208" s="21" t="s">
        <v>1107</v>
      </c>
      <c r="J208" s="22" t="s">
        <v>33</v>
      </c>
      <c r="K208" s="23">
        <f>L208/1.22*1</f>
        <v>231.96721311475412</v>
      </c>
      <c r="L208" s="26">
        <v>283</v>
      </c>
      <c r="M208" s="25">
        <v>468.72</v>
      </c>
      <c r="N208" s="25">
        <f t="shared" si="3"/>
        <v>571.83839999999998</v>
      </c>
    </row>
    <row r="209" spans="2:14" ht="60" x14ac:dyDescent="0.35">
      <c r="B209" s="20" t="s">
        <v>1102</v>
      </c>
      <c r="C209" s="20" t="s">
        <v>1103</v>
      </c>
      <c r="D209" s="20" t="s">
        <v>1228</v>
      </c>
      <c r="E209" s="20" t="s">
        <v>1236</v>
      </c>
      <c r="F209" s="20" t="s">
        <v>1237</v>
      </c>
      <c r="G209" s="20" t="s">
        <v>997</v>
      </c>
      <c r="H209" s="20" t="s">
        <v>718</v>
      </c>
      <c r="I209" s="21" t="s">
        <v>1107</v>
      </c>
      <c r="J209" s="22" t="s">
        <v>33</v>
      </c>
      <c r="K209" s="23">
        <f>L209/1.22*1</f>
        <v>280.32786885245901</v>
      </c>
      <c r="L209" s="26">
        <v>342</v>
      </c>
      <c r="M209" s="25">
        <v>375.28</v>
      </c>
      <c r="N209" s="25">
        <f t="shared" si="3"/>
        <v>457.84159999999997</v>
      </c>
    </row>
    <row r="210" spans="2:14" ht="36" x14ac:dyDescent="0.35">
      <c r="B210" s="20" t="s">
        <v>1102</v>
      </c>
      <c r="C210" s="20" t="s">
        <v>1103</v>
      </c>
      <c r="D210" s="20" t="s">
        <v>1231</v>
      </c>
      <c r="E210" s="20" t="s">
        <v>1238</v>
      </c>
      <c r="F210" s="20" t="s">
        <v>1239</v>
      </c>
      <c r="G210" s="20" t="s">
        <v>997</v>
      </c>
      <c r="H210" s="20" t="s">
        <v>718</v>
      </c>
      <c r="I210" s="21" t="s">
        <v>1107</v>
      </c>
      <c r="J210" s="22" t="s">
        <v>33</v>
      </c>
      <c r="K210" s="23">
        <f>L210/1.22*1</f>
        <v>397.5409836065574</v>
      </c>
      <c r="L210" s="26">
        <v>485</v>
      </c>
      <c r="M210" s="25">
        <v>570.36</v>
      </c>
      <c r="N210" s="25">
        <f t="shared" si="3"/>
        <v>695.83920000000001</v>
      </c>
    </row>
    <row r="211" spans="2:14" ht="36" x14ac:dyDescent="0.35">
      <c r="B211" s="20" t="s">
        <v>1102</v>
      </c>
      <c r="C211" s="20" t="s">
        <v>1103</v>
      </c>
      <c r="D211" s="20" t="s">
        <v>1240</v>
      </c>
      <c r="E211" s="20" t="s">
        <v>1241</v>
      </c>
      <c r="F211" s="20" t="s">
        <v>1242</v>
      </c>
      <c r="G211" s="20" t="s">
        <v>997</v>
      </c>
      <c r="H211" s="20" t="s">
        <v>718</v>
      </c>
      <c r="I211" s="21" t="s">
        <v>1110</v>
      </c>
      <c r="J211" s="22" t="s">
        <v>33</v>
      </c>
      <c r="K211" s="23">
        <f>L211/1.22*1</f>
        <v>258.19672131147541</v>
      </c>
      <c r="L211" s="26">
        <v>315</v>
      </c>
      <c r="M211" s="25">
        <v>672.82</v>
      </c>
      <c r="N211" s="25">
        <f t="shared" si="3"/>
        <v>820.84040000000005</v>
      </c>
    </row>
    <row r="212" spans="2:14" ht="36" x14ac:dyDescent="0.35">
      <c r="B212" s="20" t="s">
        <v>1102</v>
      </c>
      <c r="C212" s="20" t="s">
        <v>1157</v>
      </c>
      <c r="D212" s="20" t="s">
        <v>1243</v>
      </c>
      <c r="E212" s="20" t="s">
        <v>1244</v>
      </c>
      <c r="F212" s="20" t="s">
        <v>1245</v>
      </c>
      <c r="G212" s="20" t="s">
        <v>997</v>
      </c>
      <c r="H212" s="20" t="s">
        <v>718</v>
      </c>
      <c r="I212" s="21" t="s">
        <v>1110</v>
      </c>
      <c r="J212" s="22" t="s">
        <v>33</v>
      </c>
      <c r="K212" s="23">
        <f>L212/1.22*1</f>
        <v>377.04918032786884</v>
      </c>
      <c r="L212" s="26">
        <v>460</v>
      </c>
      <c r="M212" s="25">
        <v>481.02</v>
      </c>
      <c r="N212" s="25">
        <f t="shared" si="3"/>
        <v>586.84439999999995</v>
      </c>
    </row>
    <row r="213" spans="2:14" ht="36" x14ac:dyDescent="0.35">
      <c r="B213" s="20" t="s">
        <v>1102</v>
      </c>
      <c r="C213" s="20" t="s">
        <v>1157</v>
      </c>
      <c r="D213" s="20" t="s">
        <v>1246</v>
      </c>
      <c r="E213" s="20" t="s">
        <v>1247</v>
      </c>
      <c r="F213" s="20" t="s">
        <v>1248</v>
      </c>
      <c r="G213" s="20" t="s">
        <v>997</v>
      </c>
      <c r="H213" s="20" t="s">
        <v>718</v>
      </c>
      <c r="I213" s="21" t="s">
        <v>1107</v>
      </c>
      <c r="J213" s="22" t="s">
        <v>33</v>
      </c>
      <c r="K213" s="23">
        <f>L213/1.22*1</f>
        <v>587.70491803278685</v>
      </c>
      <c r="L213" s="26">
        <v>717</v>
      </c>
      <c r="M213" s="25">
        <v>723.64</v>
      </c>
      <c r="N213" s="25">
        <f t="shared" si="3"/>
        <v>882.84079999999994</v>
      </c>
    </row>
    <row r="214" spans="2:14" ht="36" x14ac:dyDescent="0.35">
      <c r="B214" s="20" t="s">
        <v>1102</v>
      </c>
      <c r="C214" s="20" t="s">
        <v>1103</v>
      </c>
      <c r="D214" s="20" t="s">
        <v>1249</v>
      </c>
      <c r="E214" s="20" t="s">
        <v>1250</v>
      </c>
      <c r="F214" s="20" t="s">
        <v>1251</v>
      </c>
      <c r="G214" s="20" t="s">
        <v>997</v>
      </c>
      <c r="H214" s="20" t="s">
        <v>718</v>
      </c>
      <c r="I214" s="21" t="s">
        <v>1107</v>
      </c>
      <c r="J214" s="22" t="s">
        <v>33</v>
      </c>
      <c r="K214" s="23">
        <f>L214/1.22*1</f>
        <v>283.60655737704917</v>
      </c>
      <c r="L214" s="26">
        <v>346</v>
      </c>
      <c r="M214" s="25">
        <v>359.71</v>
      </c>
      <c r="N214" s="25">
        <f t="shared" si="3"/>
        <v>438.84619999999995</v>
      </c>
    </row>
    <row r="215" spans="2:14" ht="36" x14ac:dyDescent="0.35">
      <c r="B215" s="20" t="s">
        <v>1102</v>
      </c>
      <c r="C215" s="20" t="s">
        <v>1103</v>
      </c>
      <c r="D215" s="20" t="s">
        <v>1252</v>
      </c>
      <c r="E215" s="20" t="s">
        <v>1253</v>
      </c>
      <c r="F215" s="20" t="s">
        <v>1254</v>
      </c>
      <c r="G215" s="20" t="s">
        <v>997</v>
      </c>
      <c r="H215" s="20" t="s">
        <v>718</v>
      </c>
      <c r="I215" s="21" t="s">
        <v>1107</v>
      </c>
      <c r="J215" s="22" t="s">
        <v>33</v>
      </c>
      <c r="K215" s="23">
        <f>L215/1.22*1</f>
        <v>317.21311475409834</v>
      </c>
      <c r="L215" s="26">
        <v>387</v>
      </c>
      <c r="M215" s="25">
        <v>530.20000000000005</v>
      </c>
      <c r="N215" s="25">
        <f t="shared" si="3"/>
        <v>646.84400000000005</v>
      </c>
    </row>
    <row r="216" spans="2:14" ht="36" x14ac:dyDescent="0.35">
      <c r="B216" s="20" t="s">
        <v>1102</v>
      </c>
      <c r="C216" s="20" t="s">
        <v>1103</v>
      </c>
      <c r="D216" s="20" t="s">
        <v>1255</v>
      </c>
      <c r="E216" s="20" t="s">
        <v>1256</v>
      </c>
      <c r="F216" s="20" t="s">
        <v>1257</v>
      </c>
      <c r="G216" s="20" t="s">
        <v>997</v>
      </c>
      <c r="H216" s="20" t="s">
        <v>718</v>
      </c>
      <c r="I216" s="21" t="s">
        <v>1110</v>
      </c>
      <c r="J216" s="22" t="s">
        <v>33</v>
      </c>
      <c r="K216" s="23">
        <f>L216/1.22*1</f>
        <v>280.32786885245901</v>
      </c>
      <c r="L216" s="26">
        <v>342</v>
      </c>
      <c r="M216" s="25">
        <v>589.22</v>
      </c>
      <c r="N216" s="25">
        <f t="shared" si="3"/>
        <v>718.84839999999997</v>
      </c>
    </row>
    <row r="217" spans="2:14" ht="36" x14ac:dyDescent="0.35">
      <c r="B217" s="20" t="s">
        <v>1102</v>
      </c>
      <c r="C217" s="20" t="s">
        <v>1103</v>
      </c>
      <c r="D217" s="20" t="s">
        <v>1258</v>
      </c>
      <c r="E217" s="20" t="s">
        <v>1259</v>
      </c>
      <c r="F217" s="20" t="s">
        <v>1260</v>
      </c>
      <c r="G217" s="20" t="s">
        <v>997</v>
      </c>
      <c r="H217" s="20" t="s">
        <v>718</v>
      </c>
      <c r="I217" s="21" t="s">
        <v>1110</v>
      </c>
      <c r="J217" s="22" t="s">
        <v>33</v>
      </c>
      <c r="K217" s="23">
        <f>L217/1.22*1</f>
        <v>347.5409836065574</v>
      </c>
      <c r="L217" s="26">
        <v>424</v>
      </c>
      <c r="M217" s="25">
        <v>539.22</v>
      </c>
      <c r="N217" s="25">
        <f t="shared" si="3"/>
        <v>657.84839999999997</v>
      </c>
    </row>
    <row r="218" spans="2:14" ht="36" x14ac:dyDescent="0.35">
      <c r="B218" s="20" t="s">
        <v>1102</v>
      </c>
      <c r="C218" s="20" t="s">
        <v>1103</v>
      </c>
      <c r="D218" s="20" t="s">
        <v>1261</v>
      </c>
      <c r="E218" s="20" t="s">
        <v>1262</v>
      </c>
      <c r="F218" s="20" t="s">
        <v>1263</v>
      </c>
      <c r="G218" s="20" t="s">
        <v>997</v>
      </c>
      <c r="H218" s="20" t="s">
        <v>718</v>
      </c>
      <c r="I218" s="21" t="s">
        <v>1110</v>
      </c>
      <c r="J218" s="22" t="s">
        <v>33</v>
      </c>
      <c r="K218" s="23">
        <f>L218/1.22*1</f>
        <v>90.983606557377058</v>
      </c>
      <c r="L218" s="26">
        <v>111</v>
      </c>
      <c r="M218" s="25">
        <v>451.51</v>
      </c>
      <c r="N218" s="25">
        <f t="shared" si="3"/>
        <v>550.84219999999993</v>
      </c>
    </row>
    <row r="219" spans="2:14" ht="36" x14ac:dyDescent="0.35">
      <c r="B219" s="20" t="s">
        <v>1102</v>
      </c>
      <c r="C219" s="20" t="s">
        <v>1157</v>
      </c>
      <c r="D219" s="20" t="s">
        <v>1264</v>
      </c>
      <c r="E219" s="20" t="s">
        <v>1265</v>
      </c>
      <c r="F219" s="20" t="s">
        <v>1266</v>
      </c>
      <c r="G219" s="20" t="s">
        <v>997</v>
      </c>
      <c r="H219" s="20" t="s">
        <v>718</v>
      </c>
      <c r="I219" s="21" t="s">
        <v>1107</v>
      </c>
      <c r="J219" s="22" t="s">
        <v>33</v>
      </c>
      <c r="K219" s="23">
        <f>L219/1.22*1</f>
        <v>315.57377049180326</v>
      </c>
      <c r="L219" s="26">
        <v>385</v>
      </c>
      <c r="M219" s="25">
        <v>481.84</v>
      </c>
      <c r="N219" s="25">
        <f t="shared" si="3"/>
        <v>587.84479999999996</v>
      </c>
    </row>
    <row r="220" spans="2:14" ht="36" x14ac:dyDescent="0.35">
      <c r="B220" s="20" t="s">
        <v>1102</v>
      </c>
      <c r="C220" s="20" t="s">
        <v>1103</v>
      </c>
      <c r="D220" s="20" t="s">
        <v>1267</v>
      </c>
      <c r="E220" s="20" t="s">
        <v>1268</v>
      </c>
      <c r="F220" s="20" t="s">
        <v>1269</v>
      </c>
      <c r="G220" s="20" t="s">
        <v>997</v>
      </c>
      <c r="H220" s="20" t="s">
        <v>718</v>
      </c>
      <c r="I220" s="21" t="s">
        <v>1107</v>
      </c>
      <c r="J220" s="22" t="s">
        <v>33</v>
      </c>
      <c r="K220" s="23">
        <f>L220/1.22*1</f>
        <v>264.75409836065575</v>
      </c>
      <c r="L220" s="26">
        <v>323</v>
      </c>
      <c r="M220" s="25">
        <v>906.43</v>
      </c>
      <c r="N220" s="25">
        <f t="shared" si="3"/>
        <v>1105.8445999999999</v>
      </c>
    </row>
    <row r="221" spans="2:14" ht="36" x14ac:dyDescent="0.35">
      <c r="B221" s="20" t="s">
        <v>1102</v>
      </c>
      <c r="C221" s="20" t="s">
        <v>1157</v>
      </c>
      <c r="D221" s="20" t="s">
        <v>1270</v>
      </c>
      <c r="E221" s="20" t="s">
        <v>1271</v>
      </c>
      <c r="F221" s="20" t="s">
        <v>1272</v>
      </c>
      <c r="G221" s="20" t="s">
        <v>997</v>
      </c>
      <c r="H221" s="20" t="s">
        <v>718</v>
      </c>
      <c r="I221" s="21" t="s">
        <v>1110</v>
      </c>
      <c r="J221" s="22" t="s">
        <v>33</v>
      </c>
      <c r="K221" s="23">
        <f>L221/1.22*1</f>
        <v>383.60655737704917</v>
      </c>
      <c r="L221" s="26">
        <v>468</v>
      </c>
      <c r="M221" s="25">
        <v>906.43</v>
      </c>
      <c r="N221" s="25">
        <f t="shared" si="3"/>
        <v>1105.8445999999999</v>
      </c>
    </row>
    <row r="222" spans="2:14" ht="36" x14ac:dyDescent="0.35">
      <c r="B222" s="20" t="s">
        <v>1102</v>
      </c>
      <c r="C222" s="20" t="s">
        <v>1103</v>
      </c>
      <c r="D222" s="20" t="s">
        <v>1273</v>
      </c>
      <c r="E222" s="20" t="s">
        <v>1274</v>
      </c>
      <c r="F222" s="20" t="s">
        <v>1275</v>
      </c>
      <c r="G222" s="20" t="s">
        <v>997</v>
      </c>
      <c r="H222" s="20" t="s">
        <v>718</v>
      </c>
      <c r="I222" s="21" t="s">
        <v>1107</v>
      </c>
      <c r="J222" s="22" t="s">
        <v>33</v>
      </c>
      <c r="K222" s="23">
        <f>L222/1.22*1</f>
        <v>521.31147540983602</v>
      </c>
      <c r="L222" s="26">
        <v>636</v>
      </c>
      <c r="M222" s="25">
        <v>430.2</v>
      </c>
      <c r="N222" s="25">
        <f t="shared" si="3"/>
        <v>524.84399999999994</v>
      </c>
    </row>
    <row r="223" spans="2:14" ht="36" x14ac:dyDescent="0.35">
      <c r="B223" s="20" t="s">
        <v>1102</v>
      </c>
      <c r="C223" s="20" t="s">
        <v>1103</v>
      </c>
      <c r="D223" s="20" t="s">
        <v>1276</v>
      </c>
      <c r="E223" s="20" t="s">
        <v>1277</v>
      </c>
      <c r="F223" s="20" t="s">
        <v>1278</v>
      </c>
      <c r="G223" s="20" t="s">
        <v>997</v>
      </c>
      <c r="H223" s="20" t="s">
        <v>718</v>
      </c>
      <c r="I223" s="21" t="s">
        <v>1107</v>
      </c>
      <c r="J223" s="22" t="s">
        <v>33</v>
      </c>
      <c r="K223" s="23">
        <f>L223/1.22*1</f>
        <v>408.19672131147541</v>
      </c>
      <c r="L223" s="26">
        <v>498</v>
      </c>
      <c r="M223" s="25">
        <v>444.95</v>
      </c>
      <c r="N223" s="25">
        <f t="shared" si="3"/>
        <v>542.83899999999994</v>
      </c>
    </row>
    <row r="224" spans="2:14" ht="36" x14ac:dyDescent="0.35">
      <c r="B224" s="20" t="s">
        <v>1102</v>
      </c>
      <c r="C224" s="20" t="s">
        <v>1103</v>
      </c>
      <c r="D224" s="20" t="s">
        <v>1276</v>
      </c>
      <c r="E224" s="20" t="s">
        <v>1279</v>
      </c>
      <c r="F224" s="20" t="s">
        <v>1280</v>
      </c>
      <c r="G224" s="20" t="s">
        <v>997</v>
      </c>
      <c r="H224" s="20" t="s">
        <v>718</v>
      </c>
      <c r="I224" s="21" t="s">
        <v>1107</v>
      </c>
      <c r="J224" s="22" t="s">
        <v>33</v>
      </c>
      <c r="K224" s="23">
        <f>L224/1.22*1</f>
        <v>211.47540983606558</v>
      </c>
      <c r="L224" s="26">
        <v>258</v>
      </c>
      <c r="M224" s="25">
        <v>667.91</v>
      </c>
      <c r="N224" s="25">
        <f t="shared" si="3"/>
        <v>814.85019999999997</v>
      </c>
    </row>
    <row r="225" spans="2:14" ht="36" x14ac:dyDescent="0.35">
      <c r="B225" s="20" t="s">
        <v>1102</v>
      </c>
      <c r="C225" s="20" t="s">
        <v>1103</v>
      </c>
      <c r="D225" s="20" t="s">
        <v>1281</v>
      </c>
      <c r="E225" s="20" t="s">
        <v>1282</v>
      </c>
      <c r="F225" s="20" t="s">
        <v>1283</v>
      </c>
      <c r="G225" s="20" t="s">
        <v>997</v>
      </c>
      <c r="H225" s="20" t="s">
        <v>718</v>
      </c>
      <c r="I225" s="21" t="s">
        <v>1107</v>
      </c>
      <c r="J225" s="22" t="s">
        <v>33</v>
      </c>
      <c r="K225" s="23">
        <f>L225/1.22*1</f>
        <v>530.32786885245901</v>
      </c>
      <c r="L225" s="26">
        <v>647</v>
      </c>
      <c r="M225" s="25">
        <v>656.43</v>
      </c>
      <c r="N225" s="25">
        <f t="shared" si="3"/>
        <v>800.8445999999999</v>
      </c>
    </row>
    <row r="226" spans="2:14" ht="36" x14ac:dyDescent="0.35">
      <c r="B226" s="20" t="s">
        <v>1102</v>
      </c>
      <c r="C226" s="20" t="s">
        <v>1103</v>
      </c>
      <c r="D226" s="20" t="s">
        <v>1281</v>
      </c>
      <c r="E226" s="20" t="s">
        <v>1284</v>
      </c>
      <c r="F226" s="20" t="s">
        <v>1285</v>
      </c>
      <c r="G226" s="20" t="s">
        <v>997</v>
      </c>
      <c r="H226" s="20" t="s">
        <v>718</v>
      </c>
      <c r="I226" s="21" t="s">
        <v>1110</v>
      </c>
      <c r="J226" s="22" t="s">
        <v>33</v>
      </c>
      <c r="K226" s="23">
        <f>L226/1.22*1</f>
        <v>173.7704918032787</v>
      </c>
      <c r="L226" s="26">
        <v>212</v>
      </c>
      <c r="M226" s="25">
        <v>457.25</v>
      </c>
      <c r="N226" s="25">
        <f t="shared" si="3"/>
        <v>557.84500000000003</v>
      </c>
    </row>
    <row r="227" spans="2:14" ht="36" x14ac:dyDescent="0.35">
      <c r="B227" s="20" t="s">
        <v>1102</v>
      </c>
      <c r="C227" s="20" t="s">
        <v>1157</v>
      </c>
      <c r="D227" s="20" t="s">
        <v>1286</v>
      </c>
      <c r="E227" s="20" t="s">
        <v>1287</v>
      </c>
      <c r="F227" s="20" t="s">
        <v>1288</v>
      </c>
      <c r="G227" s="20" t="s">
        <v>997</v>
      </c>
      <c r="H227" s="20" t="s">
        <v>718</v>
      </c>
      <c r="I227" s="21" t="s">
        <v>1107</v>
      </c>
      <c r="J227" s="22" t="s">
        <v>33</v>
      </c>
      <c r="K227" s="23">
        <f>L227/1.22*1</f>
        <v>427.04918032786884</v>
      </c>
      <c r="L227" s="26">
        <v>521</v>
      </c>
      <c r="M227" s="25">
        <v>492.5</v>
      </c>
      <c r="N227" s="25">
        <f t="shared" si="3"/>
        <v>600.85</v>
      </c>
    </row>
    <row r="228" spans="2:14" ht="36" x14ac:dyDescent="0.35">
      <c r="B228" s="20" t="s">
        <v>1102</v>
      </c>
      <c r="C228" s="20" t="s">
        <v>1157</v>
      </c>
      <c r="D228" s="20" t="s">
        <v>1289</v>
      </c>
      <c r="E228" s="20" t="s">
        <v>1290</v>
      </c>
      <c r="F228" s="20" t="s">
        <v>1291</v>
      </c>
      <c r="G228" s="20" t="s">
        <v>997</v>
      </c>
      <c r="H228" s="20" t="s">
        <v>718</v>
      </c>
      <c r="I228" s="21" t="s">
        <v>1107</v>
      </c>
      <c r="J228" s="22" t="s">
        <v>33</v>
      </c>
      <c r="K228" s="23">
        <f>L228/1.22*1</f>
        <v>386.88524590163934</v>
      </c>
      <c r="L228" s="26">
        <v>472</v>
      </c>
      <c r="M228" s="25">
        <v>403.97</v>
      </c>
      <c r="N228" s="25">
        <f t="shared" si="3"/>
        <v>492.84340000000003</v>
      </c>
    </row>
    <row r="229" spans="2:14" ht="36" x14ac:dyDescent="0.35">
      <c r="B229" s="20" t="s">
        <v>1102</v>
      </c>
      <c r="C229" s="20" t="s">
        <v>1157</v>
      </c>
      <c r="D229" s="20" t="s">
        <v>1286</v>
      </c>
      <c r="E229" s="20" t="s">
        <v>1292</v>
      </c>
      <c r="F229" s="20" t="s">
        <v>1293</v>
      </c>
      <c r="G229" s="20" t="s">
        <v>997</v>
      </c>
      <c r="H229" s="20" t="s">
        <v>718</v>
      </c>
      <c r="I229" s="21" t="s">
        <v>1107</v>
      </c>
      <c r="J229" s="22" t="s">
        <v>33</v>
      </c>
      <c r="K229" s="23">
        <f>L229/1.22*1</f>
        <v>374.59016393442624</v>
      </c>
      <c r="L229" s="26">
        <v>457</v>
      </c>
      <c r="M229" s="25">
        <v>890.86</v>
      </c>
      <c r="N229" s="25">
        <f t="shared" si="3"/>
        <v>1086.8491999999999</v>
      </c>
    </row>
    <row r="230" spans="2:14" ht="36" x14ac:dyDescent="0.35">
      <c r="B230" s="20" t="s">
        <v>1102</v>
      </c>
      <c r="C230" s="20" t="s">
        <v>1157</v>
      </c>
      <c r="D230" s="20" t="s">
        <v>1286</v>
      </c>
      <c r="E230" s="20" t="s">
        <v>1294</v>
      </c>
      <c r="F230" s="20" t="s">
        <v>1295</v>
      </c>
      <c r="G230" s="20" t="s">
        <v>997</v>
      </c>
      <c r="H230" s="20" t="s">
        <v>718</v>
      </c>
      <c r="I230" s="21" t="s">
        <v>1107</v>
      </c>
      <c r="J230" s="22" t="s">
        <v>33</v>
      </c>
      <c r="K230" s="23">
        <f>L230/1.22*1</f>
        <v>287.70491803278691</v>
      </c>
      <c r="L230" s="26">
        <v>351</v>
      </c>
      <c r="M230" s="25">
        <v>429.38</v>
      </c>
      <c r="N230" s="25">
        <f t="shared" si="3"/>
        <v>523.84360000000004</v>
      </c>
    </row>
    <row r="231" spans="2:14" ht="36" x14ac:dyDescent="0.35">
      <c r="B231" s="20" t="s">
        <v>1102</v>
      </c>
      <c r="C231" s="20" t="s">
        <v>1103</v>
      </c>
      <c r="D231" s="20" t="s">
        <v>1296</v>
      </c>
      <c r="E231" s="20" t="s">
        <v>1297</v>
      </c>
      <c r="F231" s="20" t="s">
        <v>1298</v>
      </c>
      <c r="G231" s="20" t="s">
        <v>997</v>
      </c>
      <c r="H231" s="20" t="s">
        <v>718</v>
      </c>
      <c r="I231" s="21" t="s">
        <v>1107</v>
      </c>
      <c r="J231" s="22" t="s">
        <v>33</v>
      </c>
      <c r="K231" s="23">
        <f>L231/1.22*1</f>
        <v>327.86885245901641</v>
      </c>
      <c r="L231" s="26">
        <v>400</v>
      </c>
      <c r="M231" s="25">
        <v>467.09</v>
      </c>
      <c r="N231" s="25">
        <f t="shared" si="3"/>
        <v>569.84979999999996</v>
      </c>
    </row>
    <row r="232" spans="2:14" ht="36" x14ac:dyDescent="0.35">
      <c r="B232" s="20" t="s">
        <v>1102</v>
      </c>
      <c r="C232" s="20" t="s">
        <v>1103</v>
      </c>
      <c r="D232" s="20" t="s">
        <v>1299</v>
      </c>
      <c r="E232" s="20" t="s">
        <v>1300</v>
      </c>
      <c r="F232" s="20" t="s">
        <v>1301</v>
      </c>
      <c r="G232" s="20" t="s">
        <v>997</v>
      </c>
      <c r="H232" s="20" t="s">
        <v>718</v>
      </c>
      <c r="I232" s="21" t="s">
        <v>1107</v>
      </c>
      <c r="J232" s="22" t="s">
        <v>33</v>
      </c>
      <c r="K232" s="23">
        <f>L232/1.22*1</f>
        <v>453.27868852459017</v>
      </c>
      <c r="L232" s="26">
        <v>553</v>
      </c>
      <c r="M232" s="25">
        <v>484.3</v>
      </c>
      <c r="N232" s="25">
        <f t="shared" si="3"/>
        <v>590.846</v>
      </c>
    </row>
    <row r="233" spans="2:14" ht="36" x14ac:dyDescent="0.35">
      <c r="B233" s="20" t="s">
        <v>1102</v>
      </c>
      <c r="C233" s="20" t="s">
        <v>1103</v>
      </c>
      <c r="D233" s="20" t="s">
        <v>1302</v>
      </c>
      <c r="E233" s="20" t="s">
        <v>1303</v>
      </c>
      <c r="F233" s="20" t="s">
        <v>1304</v>
      </c>
      <c r="G233" s="20" t="s">
        <v>997</v>
      </c>
      <c r="H233" s="20" t="s">
        <v>718</v>
      </c>
      <c r="I233" s="21" t="s">
        <v>1110</v>
      </c>
      <c r="J233" s="22" t="s">
        <v>33</v>
      </c>
      <c r="K233" s="23">
        <f>L233/1.22*1</f>
        <v>337.70491803278691</v>
      </c>
      <c r="L233" s="26">
        <v>412</v>
      </c>
      <c r="M233" s="25">
        <v>564.63</v>
      </c>
      <c r="N233" s="25">
        <f t="shared" si="3"/>
        <v>688.84860000000003</v>
      </c>
    </row>
    <row r="234" spans="2:14" ht="36" x14ac:dyDescent="0.35">
      <c r="B234" s="20" t="s">
        <v>1102</v>
      </c>
      <c r="C234" s="20" t="s">
        <v>1103</v>
      </c>
      <c r="D234" s="20" t="s">
        <v>1305</v>
      </c>
      <c r="E234" s="20" t="s">
        <v>1306</v>
      </c>
      <c r="F234" s="20" t="s">
        <v>1307</v>
      </c>
      <c r="G234" s="20" t="s">
        <v>997</v>
      </c>
      <c r="H234" s="20" t="s">
        <v>718</v>
      </c>
      <c r="I234" s="21" t="s">
        <v>1107</v>
      </c>
      <c r="J234" s="22" t="s">
        <v>33</v>
      </c>
      <c r="K234" s="23">
        <f>L234/1.22*1</f>
        <v>297.5409836065574</v>
      </c>
      <c r="L234" s="26">
        <v>363</v>
      </c>
      <c r="M234" s="25">
        <v>584.29999999999995</v>
      </c>
      <c r="N234" s="25">
        <f t="shared" si="3"/>
        <v>712.84599999999989</v>
      </c>
    </row>
    <row r="235" spans="2:14" ht="36" x14ac:dyDescent="0.35">
      <c r="B235" s="20" t="s">
        <v>1102</v>
      </c>
      <c r="C235" s="20" t="s">
        <v>1103</v>
      </c>
      <c r="D235" s="20" t="s">
        <v>1308</v>
      </c>
      <c r="E235" s="20" t="s">
        <v>1309</v>
      </c>
      <c r="F235" s="20" t="s">
        <v>1310</v>
      </c>
      <c r="G235" s="20" t="s">
        <v>997</v>
      </c>
      <c r="H235" s="20" t="s">
        <v>718</v>
      </c>
      <c r="I235" s="21" t="s">
        <v>1110</v>
      </c>
      <c r="J235" s="22" t="s">
        <v>33</v>
      </c>
      <c r="K235" s="23">
        <f>L235/1.22*1</f>
        <v>386.88524590163934</v>
      </c>
      <c r="L235" s="26">
        <v>472</v>
      </c>
      <c r="M235" s="25">
        <v>849.05</v>
      </c>
      <c r="N235" s="25">
        <f t="shared" si="3"/>
        <v>1035.8409999999999</v>
      </c>
    </row>
    <row r="236" spans="2:14" ht="36" x14ac:dyDescent="0.35">
      <c r="B236" s="20" t="s">
        <v>1102</v>
      </c>
      <c r="C236" s="20" t="s">
        <v>1103</v>
      </c>
      <c r="D236" s="20" t="s">
        <v>1308</v>
      </c>
      <c r="E236" s="20" t="s">
        <v>1311</v>
      </c>
      <c r="F236" s="20" t="s">
        <v>1312</v>
      </c>
      <c r="G236" s="20" t="s">
        <v>997</v>
      </c>
      <c r="H236" s="20" t="s">
        <v>718</v>
      </c>
      <c r="I236" s="21" t="s">
        <v>1110</v>
      </c>
      <c r="J236" s="22" t="s">
        <v>33</v>
      </c>
      <c r="K236" s="23">
        <f>L236/1.22*1</f>
        <v>263.93442622950818</v>
      </c>
      <c r="L236" s="26">
        <v>322</v>
      </c>
      <c r="M236" s="25">
        <v>945.77</v>
      </c>
      <c r="N236" s="25">
        <f t="shared" si="3"/>
        <v>1153.8393999999998</v>
      </c>
    </row>
    <row r="237" spans="2:14" ht="36" x14ac:dyDescent="0.35">
      <c r="B237" s="20" t="s">
        <v>1102</v>
      </c>
      <c r="C237" s="20" t="s">
        <v>1103</v>
      </c>
      <c r="D237" s="20" t="s">
        <v>1308</v>
      </c>
      <c r="E237" s="20" t="s">
        <v>1313</v>
      </c>
      <c r="F237" s="20" t="s">
        <v>1314</v>
      </c>
      <c r="G237" s="20" t="s">
        <v>997</v>
      </c>
      <c r="H237" s="20" t="s">
        <v>718</v>
      </c>
      <c r="I237" s="21" t="s">
        <v>1110</v>
      </c>
      <c r="J237" s="22" t="s">
        <v>33</v>
      </c>
      <c r="K237" s="23">
        <f>L237/1.22*1</f>
        <v>194.26229508196721</v>
      </c>
      <c r="L237" s="26">
        <v>237</v>
      </c>
      <c r="M237" s="25">
        <v>967.91</v>
      </c>
      <c r="N237" s="25">
        <f t="shared" si="3"/>
        <v>1180.8501999999999</v>
      </c>
    </row>
    <row r="238" spans="2:14" ht="36" x14ac:dyDescent="0.35">
      <c r="B238" s="20" t="s">
        <v>1102</v>
      </c>
      <c r="C238" s="20" t="s">
        <v>1103</v>
      </c>
      <c r="D238" s="20" t="s">
        <v>1305</v>
      </c>
      <c r="E238" s="20" t="s">
        <v>1315</v>
      </c>
      <c r="F238" s="20" t="s">
        <v>1316</v>
      </c>
      <c r="G238" s="20" t="s">
        <v>997</v>
      </c>
      <c r="H238" s="20" t="s">
        <v>718</v>
      </c>
      <c r="I238" s="21" t="s">
        <v>1107</v>
      </c>
      <c r="J238" s="22" t="s">
        <v>33</v>
      </c>
      <c r="K238" s="23">
        <f>L238/1.22*1</f>
        <v>405.73770491803282</v>
      </c>
      <c r="L238" s="26">
        <v>495</v>
      </c>
      <c r="M238" s="25">
        <v>527.74</v>
      </c>
      <c r="N238" s="25">
        <f t="shared" si="3"/>
        <v>643.84280000000001</v>
      </c>
    </row>
    <row r="239" spans="2:14" ht="36" x14ac:dyDescent="0.35">
      <c r="B239" s="20" t="s">
        <v>1102</v>
      </c>
      <c r="C239" s="20" t="s">
        <v>1157</v>
      </c>
      <c r="D239" s="20" t="s">
        <v>1317</v>
      </c>
      <c r="E239" s="20" t="s">
        <v>1318</v>
      </c>
      <c r="F239" s="20" t="s">
        <v>1319</v>
      </c>
      <c r="G239" s="20" t="s">
        <v>997</v>
      </c>
      <c r="H239" s="20" t="s">
        <v>718</v>
      </c>
      <c r="I239" s="21" t="s">
        <v>1110</v>
      </c>
      <c r="J239" s="22" t="s">
        <v>33</v>
      </c>
      <c r="K239" s="23">
        <f>L239/1.22*1</f>
        <v>163.9344262295082</v>
      </c>
      <c r="L239" s="26">
        <v>200</v>
      </c>
      <c r="M239" s="25">
        <v>461.35</v>
      </c>
      <c r="N239" s="25">
        <f t="shared" si="3"/>
        <v>562.84699999999998</v>
      </c>
    </row>
    <row r="240" spans="2:14" ht="36" x14ac:dyDescent="0.35">
      <c r="B240" s="20" t="s">
        <v>1102</v>
      </c>
      <c r="C240" s="20" t="s">
        <v>1157</v>
      </c>
      <c r="D240" s="20" t="s">
        <v>1320</v>
      </c>
      <c r="E240" s="20" t="s">
        <v>1321</v>
      </c>
      <c r="F240" s="20" t="s">
        <v>1322</v>
      </c>
      <c r="G240" s="20" t="s">
        <v>997</v>
      </c>
      <c r="H240" s="20" t="s">
        <v>718</v>
      </c>
      <c r="I240" s="21" t="s">
        <v>1107</v>
      </c>
      <c r="J240" s="22" t="s">
        <v>33</v>
      </c>
      <c r="K240" s="23">
        <f>L240/1.22*1</f>
        <v>322.95081967213116</v>
      </c>
      <c r="L240" s="26">
        <v>394</v>
      </c>
      <c r="M240" s="25">
        <v>476.92</v>
      </c>
      <c r="N240" s="25">
        <f t="shared" si="3"/>
        <v>581.8424</v>
      </c>
    </row>
    <row r="241" spans="2:14" ht="36" x14ac:dyDescent="0.35">
      <c r="B241" s="20" t="s">
        <v>1102</v>
      </c>
      <c r="C241" s="20" t="s">
        <v>1157</v>
      </c>
      <c r="D241" s="20" t="s">
        <v>1323</v>
      </c>
      <c r="E241" s="20" t="s">
        <v>1324</v>
      </c>
      <c r="F241" s="20" t="s">
        <v>1325</v>
      </c>
      <c r="G241" s="20" t="s">
        <v>997</v>
      </c>
      <c r="H241" s="20" t="s">
        <v>718</v>
      </c>
      <c r="I241" s="21" t="s">
        <v>1110</v>
      </c>
      <c r="J241" s="22" t="s">
        <v>33</v>
      </c>
      <c r="K241" s="23">
        <f>L241/1.22*1</f>
        <v>181.96721311475412</v>
      </c>
      <c r="L241" s="26">
        <v>222</v>
      </c>
      <c r="M241" s="25">
        <v>808.89</v>
      </c>
      <c r="N241" s="25">
        <f t="shared" si="3"/>
        <v>986.84579999999994</v>
      </c>
    </row>
    <row r="242" spans="2:14" ht="36" x14ac:dyDescent="0.35">
      <c r="B242" s="20" t="s">
        <v>1102</v>
      </c>
      <c r="C242" s="20" t="s">
        <v>1157</v>
      </c>
      <c r="D242" s="20" t="s">
        <v>1323</v>
      </c>
      <c r="E242" s="20" t="s">
        <v>1326</v>
      </c>
      <c r="F242" s="20" t="s">
        <v>1327</v>
      </c>
      <c r="G242" s="20" t="s">
        <v>997</v>
      </c>
      <c r="H242" s="20" t="s">
        <v>718</v>
      </c>
      <c r="I242" s="21" t="s">
        <v>1110</v>
      </c>
      <c r="J242" s="22" t="s">
        <v>33</v>
      </c>
      <c r="K242" s="23">
        <f>L242/1.22*1</f>
        <v>144.26229508196721</v>
      </c>
      <c r="L242" s="26">
        <v>176</v>
      </c>
      <c r="M242" s="25">
        <v>816.27</v>
      </c>
      <c r="N242" s="25">
        <f t="shared" si="3"/>
        <v>995.84939999999995</v>
      </c>
    </row>
    <row r="243" spans="2:14" ht="36" x14ac:dyDescent="0.35">
      <c r="B243" s="20" t="s">
        <v>1102</v>
      </c>
      <c r="C243" s="20" t="s">
        <v>1157</v>
      </c>
      <c r="D243" s="20" t="s">
        <v>1323</v>
      </c>
      <c r="E243" s="20" t="s">
        <v>1328</v>
      </c>
      <c r="F243" s="20" t="s">
        <v>1329</v>
      </c>
      <c r="G243" s="20" t="s">
        <v>997</v>
      </c>
      <c r="H243" s="20" t="s">
        <v>718</v>
      </c>
      <c r="I243" s="21" t="s">
        <v>1110</v>
      </c>
      <c r="J243" s="22" t="s">
        <v>33</v>
      </c>
      <c r="K243" s="23">
        <f>L243/1.22*1</f>
        <v>115.57377049180329</v>
      </c>
      <c r="L243" s="26">
        <v>141</v>
      </c>
      <c r="M243" s="25">
        <v>628.55999999999995</v>
      </c>
      <c r="N243" s="25">
        <f t="shared" si="3"/>
        <v>766.84319999999991</v>
      </c>
    </row>
    <row r="244" spans="2:14" ht="36" x14ac:dyDescent="0.35">
      <c r="B244" s="20" t="s">
        <v>1102</v>
      </c>
      <c r="C244" s="20" t="s">
        <v>1157</v>
      </c>
      <c r="D244" s="20" t="s">
        <v>1323</v>
      </c>
      <c r="E244" s="20" t="s">
        <v>1330</v>
      </c>
      <c r="F244" s="20" t="s">
        <v>1329</v>
      </c>
      <c r="G244" s="20" t="s">
        <v>997</v>
      </c>
      <c r="H244" s="20" t="s">
        <v>718</v>
      </c>
      <c r="I244" s="21" t="s">
        <v>1110</v>
      </c>
      <c r="J244" s="22" t="s">
        <v>33</v>
      </c>
      <c r="K244" s="23">
        <f>L244/1.22*1</f>
        <v>131.14754098360655</v>
      </c>
      <c r="L244" s="26">
        <v>160</v>
      </c>
      <c r="M244" s="25">
        <v>628.55999999999995</v>
      </c>
      <c r="N244" s="25">
        <f t="shared" si="3"/>
        <v>766.84319999999991</v>
      </c>
    </row>
    <row r="245" spans="2:14" ht="36" x14ac:dyDescent="0.35">
      <c r="B245" s="20" t="s">
        <v>1102</v>
      </c>
      <c r="C245" s="20" t="s">
        <v>1161</v>
      </c>
      <c r="D245" s="20" t="s">
        <v>1331</v>
      </c>
      <c r="E245" s="20" t="s">
        <v>1332</v>
      </c>
      <c r="F245" s="20" t="s">
        <v>1333</v>
      </c>
      <c r="G245" s="20" t="s">
        <v>997</v>
      </c>
      <c r="H245" s="20" t="s">
        <v>718</v>
      </c>
      <c r="I245" s="21" t="s">
        <v>1107</v>
      </c>
      <c r="J245" s="22" t="s">
        <v>33</v>
      </c>
      <c r="K245" s="23">
        <f>L245/1.22*1</f>
        <v>318.03278688524591</v>
      </c>
      <c r="L245" s="26">
        <v>388</v>
      </c>
      <c r="M245" s="25">
        <v>522.82000000000005</v>
      </c>
      <c r="N245" s="25">
        <f t="shared" si="3"/>
        <v>637.84040000000005</v>
      </c>
    </row>
    <row r="246" spans="2:14" ht="36" x14ac:dyDescent="0.35">
      <c r="B246" s="20" t="s">
        <v>1102</v>
      </c>
      <c r="C246" s="20" t="s">
        <v>1161</v>
      </c>
      <c r="D246" s="20" t="s">
        <v>1331</v>
      </c>
      <c r="E246" s="20" t="s">
        <v>1334</v>
      </c>
      <c r="F246" s="20" t="s">
        <v>1335</v>
      </c>
      <c r="G246" s="20" t="s">
        <v>997</v>
      </c>
      <c r="H246" s="20" t="s">
        <v>718</v>
      </c>
      <c r="I246" s="21" t="s">
        <v>1107</v>
      </c>
      <c r="J246" s="22" t="s">
        <v>33</v>
      </c>
      <c r="K246" s="23">
        <f>L246/1.22*1</f>
        <v>249.18032786885246</v>
      </c>
      <c r="L246" s="26">
        <v>304</v>
      </c>
      <c r="M246" s="25">
        <v>333.48</v>
      </c>
      <c r="N246" s="25">
        <f t="shared" si="3"/>
        <v>406.84559999999999</v>
      </c>
    </row>
    <row r="247" spans="2:14" ht="36" x14ac:dyDescent="0.35">
      <c r="B247" s="20" t="s">
        <v>1102</v>
      </c>
      <c r="C247" s="20" t="s">
        <v>1103</v>
      </c>
      <c r="D247" s="20" t="s">
        <v>1336</v>
      </c>
      <c r="E247" s="20" t="s">
        <v>1337</v>
      </c>
      <c r="F247" s="20" t="s">
        <v>1338</v>
      </c>
      <c r="G247" s="20" t="s">
        <v>997</v>
      </c>
      <c r="H247" s="20" t="s">
        <v>718</v>
      </c>
      <c r="I247" s="21" t="s">
        <v>1107</v>
      </c>
      <c r="J247" s="22" t="s">
        <v>33</v>
      </c>
      <c r="K247" s="23">
        <f>L247/1.22*1</f>
        <v>421.31147540983608</v>
      </c>
      <c r="L247" s="26">
        <v>514</v>
      </c>
      <c r="M247" s="25">
        <v>1144.1300000000001</v>
      </c>
      <c r="N247" s="25">
        <f t="shared" si="3"/>
        <v>1395.8386</v>
      </c>
    </row>
    <row r="248" spans="2:14" ht="36" x14ac:dyDescent="0.35">
      <c r="B248" s="20" t="s">
        <v>1102</v>
      </c>
      <c r="C248" s="20" t="s">
        <v>1103</v>
      </c>
      <c r="D248" s="20" t="s">
        <v>1339</v>
      </c>
      <c r="E248" s="20" t="s">
        <v>1340</v>
      </c>
      <c r="F248" s="20" t="s">
        <v>1341</v>
      </c>
      <c r="G248" s="20" t="s">
        <v>997</v>
      </c>
      <c r="H248" s="20" t="s">
        <v>718</v>
      </c>
      <c r="I248" s="21" t="s">
        <v>1107</v>
      </c>
      <c r="J248" s="22" t="s">
        <v>33</v>
      </c>
      <c r="K248" s="23">
        <f>L248/1.22*1</f>
        <v>852.45901639344265</v>
      </c>
      <c r="L248" s="26">
        <v>1040</v>
      </c>
      <c r="M248" s="25">
        <v>570.36</v>
      </c>
      <c r="N248" s="25">
        <f t="shared" si="3"/>
        <v>695.83920000000001</v>
      </c>
    </row>
    <row r="249" spans="2:14" ht="36" x14ac:dyDescent="0.35">
      <c r="B249" s="20" t="s">
        <v>1102</v>
      </c>
      <c r="C249" s="20" t="s">
        <v>1103</v>
      </c>
      <c r="D249" s="20" t="s">
        <v>1342</v>
      </c>
      <c r="E249" s="20" t="s">
        <v>1343</v>
      </c>
      <c r="F249" s="20" t="s">
        <v>1344</v>
      </c>
      <c r="G249" s="20" t="s">
        <v>997</v>
      </c>
      <c r="H249" s="20" t="s">
        <v>718</v>
      </c>
      <c r="I249" s="21" t="s">
        <v>1110</v>
      </c>
      <c r="J249" s="22" t="s">
        <v>33</v>
      </c>
      <c r="K249" s="23">
        <f>L249/1.22*1</f>
        <v>268.85245901639342</v>
      </c>
      <c r="L249" s="26">
        <v>328</v>
      </c>
      <c r="M249" s="25">
        <v>457.25</v>
      </c>
      <c r="N249" s="25">
        <f t="shared" si="3"/>
        <v>557.84500000000003</v>
      </c>
    </row>
    <row r="250" spans="2:14" ht="36" x14ac:dyDescent="0.35">
      <c r="B250" s="20" t="s">
        <v>1102</v>
      </c>
      <c r="C250" s="20" t="s">
        <v>1157</v>
      </c>
      <c r="D250" s="20" t="s">
        <v>1345</v>
      </c>
      <c r="E250" s="20" t="s">
        <v>1332</v>
      </c>
      <c r="F250" s="20" t="s">
        <v>1346</v>
      </c>
      <c r="G250" s="20" t="s">
        <v>997</v>
      </c>
      <c r="H250" s="20" t="s">
        <v>718</v>
      </c>
      <c r="I250" s="21" t="s">
        <v>1107</v>
      </c>
      <c r="J250" s="22" t="s">
        <v>33</v>
      </c>
      <c r="K250" s="23">
        <f>L250/1.22*1</f>
        <v>169.67213114754099</v>
      </c>
      <c r="L250" s="26">
        <v>207</v>
      </c>
      <c r="M250" s="25">
        <v>397.41</v>
      </c>
      <c r="N250" s="25">
        <f t="shared" si="3"/>
        <v>484.84020000000004</v>
      </c>
    </row>
    <row r="251" spans="2:14" ht="36" x14ac:dyDescent="0.35">
      <c r="B251" s="20" t="s">
        <v>1102</v>
      </c>
      <c r="C251" s="20" t="s">
        <v>1157</v>
      </c>
      <c r="D251" s="20" t="s">
        <v>1347</v>
      </c>
      <c r="E251" s="20" t="s">
        <v>1348</v>
      </c>
      <c r="F251" s="20" t="s">
        <v>1349</v>
      </c>
      <c r="G251" s="20" t="s">
        <v>997</v>
      </c>
      <c r="H251" s="20" t="s">
        <v>718</v>
      </c>
      <c r="I251" s="21" t="s">
        <v>1107</v>
      </c>
      <c r="J251" s="22" t="s">
        <v>33</v>
      </c>
      <c r="K251" s="23">
        <f>L251/1.22*1</f>
        <v>250.81967213114754</v>
      </c>
      <c r="L251" s="26">
        <v>306</v>
      </c>
      <c r="M251" s="25">
        <v>554.79</v>
      </c>
      <c r="N251" s="25">
        <f t="shared" si="3"/>
        <v>676.84379999999999</v>
      </c>
    </row>
    <row r="252" spans="2:14" ht="36" x14ac:dyDescent="0.35">
      <c r="B252" s="20" t="s">
        <v>1102</v>
      </c>
      <c r="C252" s="20" t="s">
        <v>1157</v>
      </c>
      <c r="D252" s="20" t="s">
        <v>1345</v>
      </c>
      <c r="E252" s="20" t="s">
        <v>1350</v>
      </c>
      <c r="F252" s="20" t="s">
        <v>1349</v>
      </c>
      <c r="G252" s="20" t="s">
        <v>997</v>
      </c>
      <c r="H252" s="20" t="s">
        <v>718</v>
      </c>
      <c r="I252" s="21" t="s">
        <v>1107</v>
      </c>
      <c r="J252" s="22" t="s">
        <v>33</v>
      </c>
      <c r="K252" s="23">
        <f>L252/1.22*1</f>
        <v>313.11475409836066</v>
      </c>
      <c r="L252" s="26">
        <v>382</v>
      </c>
      <c r="M252" s="25">
        <v>503.97</v>
      </c>
      <c r="N252" s="25">
        <f t="shared" si="3"/>
        <v>614.84339999999997</v>
      </c>
    </row>
    <row r="253" spans="2:14" ht="36" x14ac:dyDescent="0.35">
      <c r="B253" s="20" t="s">
        <v>1102</v>
      </c>
      <c r="C253" s="20" t="s">
        <v>1157</v>
      </c>
      <c r="D253" s="20" t="s">
        <v>1345</v>
      </c>
      <c r="E253" s="20" t="s">
        <v>1351</v>
      </c>
      <c r="F253" s="20" t="s">
        <v>1352</v>
      </c>
      <c r="G253" s="20" t="s">
        <v>997</v>
      </c>
      <c r="H253" s="20" t="s">
        <v>718</v>
      </c>
      <c r="I253" s="21" t="s">
        <v>1107</v>
      </c>
      <c r="J253" s="22" t="s">
        <v>33</v>
      </c>
      <c r="K253" s="23">
        <f>L253/1.22*1</f>
        <v>183.60655737704917</v>
      </c>
      <c r="L253" s="26">
        <v>224</v>
      </c>
      <c r="M253" s="25">
        <v>499.05</v>
      </c>
      <c r="N253" s="25">
        <f t="shared" si="3"/>
        <v>608.84100000000001</v>
      </c>
    </row>
    <row r="254" spans="2:14" ht="36" x14ac:dyDescent="0.35">
      <c r="B254" s="20" t="s">
        <v>1102</v>
      </c>
      <c r="C254" s="20" t="s">
        <v>1103</v>
      </c>
      <c r="D254" s="20" t="s">
        <v>1353</v>
      </c>
      <c r="E254" s="20" t="s">
        <v>1354</v>
      </c>
      <c r="F254" s="20" t="s">
        <v>1355</v>
      </c>
      <c r="G254" s="20" t="s">
        <v>997</v>
      </c>
      <c r="H254" s="20" t="s">
        <v>718</v>
      </c>
      <c r="I254" s="21" t="s">
        <v>1107</v>
      </c>
      <c r="J254" s="22" t="s">
        <v>33</v>
      </c>
      <c r="K254" s="23">
        <f>L254/1.22*1</f>
        <v>441.80327868852459</v>
      </c>
      <c r="L254" s="26">
        <v>539</v>
      </c>
      <c r="M254" s="25">
        <v>404.79</v>
      </c>
      <c r="N254" s="25">
        <f t="shared" si="3"/>
        <v>493.84379999999999</v>
      </c>
    </row>
    <row r="255" spans="2:14" ht="36" x14ac:dyDescent="0.35">
      <c r="B255" s="20" t="s">
        <v>1102</v>
      </c>
      <c r="C255" s="20" t="s">
        <v>1103</v>
      </c>
      <c r="D255" s="20" t="s">
        <v>1353</v>
      </c>
      <c r="E255" s="20" t="s">
        <v>1356</v>
      </c>
      <c r="F255" s="36" t="s">
        <v>1357</v>
      </c>
      <c r="G255" s="20" t="s">
        <v>997</v>
      </c>
      <c r="H255" s="20" t="s">
        <v>718</v>
      </c>
      <c r="I255" s="21" t="s">
        <v>1107</v>
      </c>
      <c r="J255" s="22" t="s">
        <v>33</v>
      </c>
      <c r="K255" s="23">
        <f>L255/1.22*1</f>
        <v>582.78688524590166</v>
      </c>
      <c r="L255" s="26">
        <v>711</v>
      </c>
      <c r="M255" s="25">
        <v>471.18</v>
      </c>
      <c r="N255" s="25">
        <f t="shared" si="3"/>
        <v>574.83960000000002</v>
      </c>
    </row>
    <row r="256" spans="2:14" ht="36" x14ac:dyDescent="0.35">
      <c r="B256" s="20" t="s">
        <v>1102</v>
      </c>
      <c r="C256" s="20" t="s">
        <v>1103</v>
      </c>
      <c r="D256" s="20" t="s">
        <v>1353</v>
      </c>
      <c r="E256" s="20" t="s">
        <v>1358</v>
      </c>
      <c r="F256" s="36" t="s">
        <v>1359</v>
      </c>
      <c r="G256" s="20" t="s">
        <v>997</v>
      </c>
      <c r="H256" s="20" t="s">
        <v>718</v>
      </c>
      <c r="I256" s="21" t="s">
        <v>1107</v>
      </c>
      <c r="J256" s="22" t="s">
        <v>33</v>
      </c>
      <c r="K256" s="23">
        <f>L256/1.22*1</f>
        <v>465.57377049180332</v>
      </c>
      <c r="L256" s="26">
        <v>568</v>
      </c>
      <c r="M256" s="25">
        <v>988.4</v>
      </c>
      <c r="N256" s="25">
        <f t="shared" si="3"/>
        <v>1205.848</v>
      </c>
    </row>
    <row r="257" spans="2:14" ht="36" x14ac:dyDescent="0.35">
      <c r="B257" s="20" t="s">
        <v>1102</v>
      </c>
      <c r="C257" s="20" t="s">
        <v>1103</v>
      </c>
      <c r="D257" s="20" t="s">
        <v>1353</v>
      </c>
      <c r="E257" s="20" t="s">
        <v>1360</v>
      </c>
      <c r="F257" s="20" t="s">
        <v>1361</v>
      </c>
      <c r="G257" s="20" t="s">
        <v>997</v>
      </c>
      <c r="H257" s="20" t="s">
        <v>718</v>
      </c>
      <c r="I257" s="21" t="s">
        <v>1107</v>
      </c>
      <c r="J257" s="22" t="s">
        <v>33</v>
      </c>
      <c r="K257" s="23">
        <f>L257/1.22*1</f>
        <v>417.21311475409834</v>
      </c>
      <c r="L257" s="26">
        <v>509</v>
      </c>
      <c r="M257" s="25">
        <v>471.18</v>
      </c>
      <c r="N257" s="25">
        <f t="shared" si="3"/>
        <v>574.83960000000002</v>
      </c>
    </row>
    <row r="258" spans="2:14" ht="36" x14ac:dyDescent="0.35">
      <c r="B258" s="20" t="s">
        <v>1102</v>
      </c>
      <c r="C258" s="20" t="s">
        <v>1103</v>
      </c>
      <c r="D258" s="20" t="s">
        <v>1362</v>
      </c>
      <c r="E258" s="20" t="s">
        <v>1363</v>
      </c>
      <c r="F258" s="20" t="s">
        <v>1364</v>
      </c>
      <c r="G258" s="20" t="s">
        <v>997</v>
      </c>
      <c r="H258" s="20" t="s">
        <v>718</v>
      </c>
      <c r="I258" s="21" t="s">
        <v>1110</v>
      </c>
      <c r="J258" s="22" t="s">
        <v>33</v>
      </c>
      <c r="K258" s="23">
        <f>L258/1.22*1</f>
        <v>431.96721311475409</v>
      </c>
      <c r="L258" s="26">
        <v>527</v>
      </c>
      <c r="M258" s="25">
        <v>603.97</v>
      </c>
      <c r="N258" s="25">
        <f t="shared" si="3"/>
        <v>736.84339999999997</v>
      </c>
    </row>
    <row r="259" spans="2:14" ht="36" x14ac:dyDescent="0.35">
      <c r="B259" s="20" t="s">
        <v>1102</v>
      </c>
      <c r="C259" s="20" t="s">
        <v>1103</v>
      </c>
      <c r="D259" s="20" t="s">
        <v>1365</v>
      </c>
      <c r="E259" s="20" t="s">
        <v>1366</v>
      </c>
      <c r="F259" s="36" t="s">
        <v>1367</v>
      </c>
      <c r="G259" s="20" t="s">
        <v>997</v>
      </c>
      <c r="H259" s="20" t="s">
        <v>718</v>
      </c>
      <c r="I259" s="21" t="s">
        <v>1107</v>
      </c>
      <c r="J259" s="22" t="s">
        <v>33</v>
      </c>
      <c r="K259" s="23">
        <f>L259/1.22*1</f>
        <v>293.44262295081967</v>
      </c>
      <c r="L259" s="26">
        <v>358</v>
      </c>
      <c r="M259" s="25">
        <v>359.71</v>
      </c>
      <c r="N259" s="25">
        <f t="shared" si="3"/>
        <v>438.84619999999995</v>
      </c>
    </row>
    <row r="260" spans="2:14" ht="36" x14ac:dyDescent="0.35">
      <c r="B260" s="20" t="s">
        <v>1102</v>
      </c>
      <c r="C260" s="20" t="s">
        <v>1103</v>
      </c>
      <c r="D260" s="20" t="s">
        <v>1368</v>
      </c>
      <c r="E260" s="20" t="s">
        <v>1369</v>
      </c>
      <c r="F260" s="36" t="s">
        <v>1370</v>
      </c>
      <c r="G260" s="20" t="s">
        <v>997</v>
      </c>
      <c r="H260" s="20" t="s">
        <v>718</v>
      </c>
      <c r="I260" s="21" t="s">
        <v>1107</v>
      </c>
      <c r="J260" s="22" t="s">
        <v>33</v>
      </c>
      <c r="K260" s="23">
        <f>L260/1.22*1</f>
        <v>410.65573770491807</v>
      </c>
      <c r="L260" s="26">
        <v>501</v>
      </c>
      <c r="M260" s="25">
        <v>332.66</v>
      </c>
      <c r="N260" s="25">
        <f t="shared" si="3"/>
        <v>405.84520000000003</v>
      </c>
    </row>
    <row r="261" spans="2:14" ht="36" x14ac:dyDescent="0.35">
      <c r="B261" s="20" t="s">
        <v>1102</v>
      </c>
      <c r="C261" s="20" t="s">
        <v>1103</v>
      </c>
      <c r="D261" s="20" t="s">
        <v>1362</v>
      </c>
      <c r="E261" s="20" t="s">
        <v>1371</v>
      </c>
      <c r="F261" s="20" t="s">
        <v>1372</v>
      </c>
      <c r="G261" s="20" t="s">
        <v>997</v>
      </c>
      <c r="H261" s="20" t="s">
        <v>718</v>
      </c>
      <c r="I261" s="21" t="s">
        <v>1110</v>
      </c>
      <c r="J261" s="22" t="s">
        <v>33</v>
      </c>
      <c r="K261" s="23">
        <f>L261/1.22*1</f>
        <v>703.27868852459017</v>
      </c>
      <c r="L261" s="26">
        <v>858</v>
      </c>
      <c r="M261" s="25">
        <v>508.07</v>
      </c>
      <c r="N261" s="25">
        <f t="shared" si="3"/>
        <v>619.84539999999993</v>
      </c>
    </row>
    <row r="262" spans="2:14" ht="36" x14ac:dyDescent="0.35">
      <c r="B262" s="20" t="s">
        <v>1102</v>
      </c>
      <c r="C262" s="20" t="s">
        <v>1103</v>
      </c>
      <c r="D262" s="20" t="s">
        <v>1362</v>
      </c>
      <c r="E262" s="20" t="s">
        <v>1373</v>
      </c>
      <c r="F262" s="20" t="s">
        <v>1374</v>
      </c>
      <c r="G262" s="20" t="s">
        <v>997</v>
      </c>
      <c r="H262" s="20" t="s">
        <v>718</v>
      </c>
      <c r="I262" s="21" t="s">
        <v>1110</v>
      </c>
      <c r="J262" s="22" t="s">
        <v>33</v>
      </c>
      <c r="K262" s="23">
        <f>L262/1.22*1</f>
        <v>172.95081967213116</v>
      </c>
      <c r="L262" s="26">
        <v>211</v>
      </c>
      <c r="M262" s="25">
        <v>457.25</v>
      </c>
      <c r="N262" s="25">
        <f t="shared" si="3"/>
        <v>557.84500000000003</v>
      </c>
    </row>
    <row r="263" spans="2:14" ht="36" x14ac:dyDescent="0.35">
      <c r="B263" s="20" t="s">
        <v>1102</v>
      </c>
      <c r="C263" s="20" t="s">
        <v>1157</v>
      </c>
      <c r="D263" s="20" t="s">
        <v>1375</v>
      </c>
      <c r="E263" s="20" t="s">
        <v>1376</v>
      </c>
      <c r="F263" s="20" t="s">
        <v>1377</v>
      </c>
      <c r="G263" s="20" t="s">
        <v>997</v>
      </c>
      <c r="H263" s="20" t="s">
        <v>718</v>
      </c>
      <c r="I263" s="21" t="s">
        <v>1107</v>
      </c>
      <c r="J263" s="22" t="s">
        <v>33</v>
      </c>
      <c r="K263" s="23">
        <f>L263/1.22*1</f>
        <v>417.21311475409834</v>
      </c>
      <c r="L263" s="26">
        <v>509</v>
      </c>
      <c r="M263" s="25">
        <v>461.35</v>
      </c>
      <c r="N263" s="25">
        <f t="shared" si="3"/>
        <v>562.84699999999998</v>
      </c>
    </row>
    <row r="264" spans="2:14" ht="36" x14ac:dyDescent="0.35">
      <c r="B264" s="20" t="s">
        <v>1102</v>
      </c>
      <c r="C264" s="20" t="s">
        <v>1157</v>
      </c>
      <c r="D264" s="20" t="s">
        <v>1375</v>
      </c>
      <c r="E264" s="20" t="s">
        <v>1378</v>
      </c>
      <c r="F264" s="20" t="s">
        <v>1377</v>
      </c>
      <c r="G264" s="20" t="s">
        <v>997</v>
      </c>
      <c r="H264" s="20" t="s">
        <v>718</v>
      </c>
      <c r="I264" s="21" t="s">
        <v>1107</v>
      </c>
      <c r="J264" s="22" t="s">
        <v>33</v>
      </c>
      <c r="K264" s="23">
        <f>L264/1.22*1</f>
        <v>386.88524590163934</v>
      </c>
      <c r="L264" s="26">
        <v>472</v>
      </c>
      <c r="M264" s="25">
        <v>492.5</v>
      </c>
      <c r="N264" s="25">
        <f t="shared" si="3"/>
        <v>600.85</v>
      </c>
    </row>
    <row r="265" spans="2:14" ht="36" x14ac:dyDescent="0.35">
      <c r="B265" s="20" t="s">
        <v>1102</v>
      </c>
      <c r="C265" s="20" t="s">
        <v>1157</v>
      </c>
      <c r="D265" s="20" t="s">
        <v>1375</v>
      </c>
      <c r="E265" s="20" t="s">
        <v>1379</v>
      </c>
      <c r="F265" s="20" t="s">
        <v>1380</v>
      </c>
      <c r="G265" s="20" t="s">
        <v>997</v>
      </c>
      <c r="H265" s="20" t="s">
        <v>718</v>
      </c>
      <c r="I265" s="21" t="s">
        <v>1110</v>
      </c>
      <c r="J265" s="22" t="s">
        <v>33</v>
      </c>
      <c r="K265" s="23">
        <f>L265/1.22*1</f>
        <v>265.57377049180326</v>
      </c>
      <c r="L265" s="26">
        <v>324</v>
      </c>
      <c r="M265" s="25">
        <v>957.25</v>
      </c>
      <c r="N265" s="25">
        <f t="shared" si="3"/>
        <v>1167.845</v>
      </c>
    </row>
    <row r="266" spans="2:14" ht="36" x14ac:dyDescent="0.35">
      <c r="B266" s="20" t="s">
        <v>1102</v>
      </c>
      <c r="C266" s="20" t="s">
        <v>1157</v>
      </c>
      <c r="D266" s="20" t="s">
        <v>1381</v>
      </c>
      <c r="E266" s="20" t="s">
        <v>1382</v>
      </c>
      <c r="F266" s="20" t="s">
        <v>1383</v>
      </c>
      <c r="G266" s="20" t="s">
        <v>997</v>
      </c>
      <c r="H266" s="20" t="s">
        <v>718</v>
      </c>
      <c r="I266" s="21" t="s">
        <v>1107</v>
      </c>
      <c r="J266" s="22" t="s">
        <v>33</v>
      </c>
      <c r="K266" s="23">
        <f>L266/1.22*1</f>
        <v>1589.344262295082</v>
      </c>
      <c r="L266" s="26">
        <v>1939</v>
      </c>
      <c r="M266" s="25">
        <v>684.3</v>
      </c>
      <c r="N266" s="25">
        <f t="shared" ref="N266:N329" si="4">M266*1.22</f>
        <v>834.84599999999989</v>
      </c>
    </row>
    <row r="267" spans="2:14" ht="36" x14ac:dyDescent="0.35">
      <c r="B267" s="20" t="s">
        <v>1102</v>
      </c>
      <c r="C267" s="20" t="s">
        <v>1157</v>
      </c>
      <c r="D267" s="20" t="s">
        <v>1384</v>
      </c>
      <c r="E267" s="20" t="s">
        <v>1385</v>
      </c>
      <c r="F267" s="20" t="s">
        <v>1386</v>
      </c>
      <c r="G267" s="20" t="s">
        <v>997</v>
      </c>
      <c r="H267" s="20" t="s">
        <v>718</v>
      </c>
      <c r="I267" s="21" t="s">
        <v>1107</v>
      </c>
      <c r="J267" s="22" t="s">
        <v>33</v>
      </c>
      <c r="K267" s="23">
        <f>L267/1.22*1</f>
        <v>1771.311475409836</v>
      </c>
      <c r="L267" s="26">
        <v>2161</v>
      </c>
      <c r="M267" s="25">
        <v>699.87</v>
      </c>
      <c r="N267" s="25">
        <f t="shared" si="4"/>
        <v>853.84140000000002</v>
      </c>
    </row>
    <row r="268" spans="2:14" ht="36" x14ac:dyDescent="0.35">
      <c r="B268" s="20" t="s">
        <v>1102</v>
      </c>
      <c r="C268" s="20" t="s">
        <v>1157</v>
      </c>
      <c r="D268" s="20" t="s">
        <v>1384</v>
      </c>
      <c r="E268" s="20" t="s">
        <v>1387</v>
      </c>
      <c r="F268" s="20" t="s">
        <v>1388</v>
      </c>
      <c r="G268" s="20" t="s">
        <v>997</v>
      </c>
      <c r="H268" s="20" t="s">
        <v>718</v>
      </c>
      <c r="I268" s="21" t="s">
        <v>1107</v>
      </c>
      <c r="J268" s="22" t="s">
        <v>33</v>
      </c>
      <c r="K268" s="23">
        <f>L268/1.22*1</f>
        <v>472.95081967213116</v>
      </c>
      <c r="L268" s="26">
        <v>577</v>
      </c>
      <c r="M268" s="25">
        <v>1694.95</v>
      </c>
      <c r="N268" s="25">
        <f t="shared" si="4"/>
        <v>2067.8389999999999</v>
      </c>
    </row>
    <row r="269" spans="2:14" ht="72" x14ac:dyDescent="0.35">
      <c r="B269" s="20" t="s">
        <v>1102</v>
      </c>
      <c r="C269" s="20" t="s">
        <v>1157</v>
      </c>
      <c r="D269" s="20" t="s">
        <v>1389</v>
      </c>
      <c r="E269" s="20" t="s">
        <v>1390</v>
      </c>
      <c r="F269" s="20" t="s">
        <v>1391</v>
      </c>
      <c r="G269" s="20" t="s">
        <v>997</v>
      </c>
      <c r="H269" s="20" t="s">
        <v>718</v>
      </c>
      <c r="I269" s="21" t="s">
        <v>1107</v>
      </c>
      <c r="J269" s="22" t="s">
        <v>33</v>
      </c>
      <c r="K269" s="23">
        <f>L269/1.22*1</f>
        <v>2109.0163934426232</v>
      </c>
      <c r="L269" s="26">
        <v>2573</v>
      </c>
      <c r="M269" s="25">
        <v>1394.13</v>
      </c>
      <c r="N269" s="25">
        <f t="shared" si="4"/>
        <v>1700.8386</v>
      </c>
    </row>
    <row r="270" spans="2:14" ht="72" x14ac:dyDescent="0.35">
      <c r="B270" s="20" t="s">
        <v>1102</v>
      </c>
      <c r="C270" s="20" t="s">
        <v>1157</v>
      </c>
      <c r="D270" s="20" t="s">
        <v>1392</v>
      </c>
      <c r="E270" s="20" t="s">
        <v>1393</v>
      </c>
      <c r="F270" s="20" t="s">
        <v>1394</v>
      </c>
      <c r="G270" s="20" t="s">
        <v>997</v>
      </c>
      <c r="H270" s="20" t="s">
        <v>718</v>
      </c>
      <c r="I270" s="21" t="s">
        <v>1107</v>
      </c>
      <c r="J270" s="22" t="s">
        <v>33</v>
      </c>
      <c r="K270" s="23">
        <f>L270/1.22*1</f>
        <v>1758.1967213114754</v>
      </c>
      <c r="L270" s="26">
        <v>2145</v>
      </c>
      <c r="M270" s="25">
        <v>1835.12</v>
      </c>
      <c r="N270" s="25">
        <f t="shared" si="4"/>
        <v>2238.8463999999999</v>
      </c>
    </row>
    <row r="271" spans="2:14" ht="36" x14ac:dyDescent="0.35">
      <c r="B271" s="20" t="s">
        <v>1102</v>
      </c>
      <c r="C271" s="20" t="s">
        <v>1157</v>
      </c>
      <c r="D271" s="20" t="s">
        <v>1395</v>
      </c>
      <c r="E271" s="20" t="s">
        <v>1382</v>
      </c>
      <c r="F271" s="20" t="s">
        <v>1394</v>
      </c>
      <c r="G271" s="20" t="s">
        <v>997</v>
      </c>
      <c r="H271" s="20" t="s">
        <v>718</v>
      </c>
      <c r="I271" s="21" t="s">
        <v>1107</v>
      </c>
      <c r="J271" s="22" t="s">
        <v>33</v>
      </c>
      <c r="K271" s="23">
        <f>L271/1.22*1</f>
        <v>1589.344262295082</v>
      </c>
      <c r="L271" s="26">
        <v>1939</v>
      </c>
      <c r="M271" s="25">
        <v>863.81</v>
      </c>
      <c r="N271" s="25">
        <f t="shared" si="4"/>
        <v>1053.8481999999999</v>
      </c>
    </row>
    <row r="272" spans="2:14" ht="36" x14ac:dyDescent="0.35">
      <c r="B272" s="20" t="s">
        <v>1102</v>
      </c>
      <c r="C272" s="20" t="s">
        <v>1157</v>
      </c>
      <c r="D272" s="20" t="s">
        <v>1396</v>
      </c>
      <c r="E272" s="20" t="s">
        <v>1397</v>
      </c>
      <c r="F272" s="20" t="s">
        <v>1394</v>
      </c>
      <c r="G272" s="20" t="s">
        <v>997</v>
      </c>
      <c r="H272" s="20" t="s">
        <v>718</v>
      </c>
      <c r="I272" s="21" t="s">
        <v>1107</v>
      </c>
      <c r="J272" s="22" t="s">
        <v>33</v>
      </c>
      <c r="K272" s="23">
        <f>L272/1.22*1</f>
        <v>1449.1803278688526</v>
      </c>
      <c r="L272" s="26">
        <v>1768</v>
      </c>
      <c r="M272" s="25">
        <v>1163.81</v>
      </c>
      <c r="N272" s="25">
        <f t="shared" si="4"/>
        <v>1419.8481999999999</v>
      </c>
    </row>
    <row r="273" spans="2:14" ht="36" x14ac:dyDescent="0.35">
      <c r="B273" s="20" t="s">
        <v>1102</v>
      </c>
      <c r="C273" s="20" t="s">
        <v>1157</v>
      </c>
      <c r="D273" s="20" t="s">
        <v>1398</v>
      </c>
      <c r="E273" s="20" t="s">
        <v>1399</v>
      </c>
      <c r="F273" s="20" t="s">
        <v>1400</v>
      </c>
      <c r="G273" s="20" t="s">
        <v>997</v>
      </c>
      <c r="H273" s="20" t="s">
        <v>718</v>
      </c>
      <c r="I273" s="21" t="s">
        <v>1107</v>
      </c>
      <c r="J273" s="22" t="s">
        <v>33</v>
      </c>
      <c r="K273" s="23">
        <f>L273/1.22*1</f>
        <v>1839.344262295082</v>
      </c>
      <c r="L273" s="26">
        <v>2244</v>
      </c>
      <c r="M273" s="25">
        <v>1675.28</v>
      </c>
      <c r="N273" s="25">
        <f t="shared" si="4"/>
        <v>2043.8416</v>
      </c>
    </row>
    <row r="274" spans="2:14" ht="43.5" customHeight="1" x14ac:dyDescent="0.35">
      <c r="B274" s="20" t="s">
        <v>1102</v>
      </c>
      <c r="C274" s="20" t="s">
        <v>1157</v>
      </c>
      <c r="D274" s="20" t="s">
        <v>1401</v>
      </c>
      <c r="E274" s="20" t="s">
        <v>1402</v>
      </c>
      <c r="F274" s="20" t="s">
        <v>1403</v>
      </c>
      <c r="G274" s="20" t="s">
        <v>997</v>
      </c>
      <c r="H274" s="20" t="s">
        <v>718</v>
      </c>
      <c r="I274" s="21" t="s">
        <v>1107</v>
      </c>
      <c r="J274" s="22" t="s">
        <v>33</v>
      </c>
      <c r="K274" s="23">
        <f>L274/1.22*1</f>
        <v>1483.6065573770493</v>
      </c>
      <c r="L274" s="26">
        <v>1810</v>
      </c>
      <c r="M274" s="25">
        <v>1507.25</v>
      </c>
      <c r="N274" s="25">
        <f t="shared" si="4"/>
        <v>1838.845</v>
      </c>
    </row>
    <row r="275" spans="2:14" ht="43.5" customHeight="1" x14ac:dyDescent="0.35">
      <c r="B275" s="20" t="s">
        <v>1102</v>
      </c>
      <c r="C275" s="20" t="s">
        <v>1157</v>
      </c>
      <c r="D275" s="20" t="s">
        <v>1404</v>
      </c>
      <c r="E275" s="20" t="s">
        <v>1405</v>
      </c>
      <c r="F275" s="20" t="s">
        <v>1406</v>
      </c>
      <c r="G275" s="20" t="s">
        <v>997</v>
      </c>
      <c r="H275" s="20" t="s">
        <v>718</v>
      </c>
      <c r="I275" s="21" t="s">
        <v>1107</v>
      </c>
      <c r="J275" s="22" t="s">
        <v>33</v>
      </c>
      <c r="K275" s="23">
        <f>L275/1.22*1</f>
        <v>1422.1311475409836</v>
      </c>
      <c r="L275" s="26">
        <v>1735</v>
      </c>
      <c r="M275" s="25">
        <v>432.66</v>
      </c>
      <c r="N275" s="25">
        <f t="shared" si="4"/>
        <v>527.84519999999998</v>
      </c>
    </row>
    <row r="276" spans="2:14" ht="43.5" customHeight="1" x14ac:dyDescent="0.35">
      <c r="B276" s="20" t="s">
        <v>1102</v>
      </c>
      <c r="C276" s="20" t="s">
        <v>1157</v>
      </c>
      <c r="D276" s="20" t="s">
        <v>1407</v>
      </c>
      <c r="E276" s="20" t="s">
        <v>1408</v>
      </c>
      <c r="F276" s="20" t="s">
        <v>1409</v>
      </c>
      <c r="G276" s="20" t="s">
        <v>997</v>
      </c>
      <c r="H276" s="20" t="s">
        <v>718</v>
      </c>
      <c r="I276" s="21" t="s">
        <v>1107</v>
      </c>
      <c r="J276" s="22" t="s">
        <v>33</v>
      </c>
      <c r="K276" s="23">
        <f>L276/1.22*1</f>
        <v>1846.7213114754099</v>
      </c>
      <c r="L276" s="26">
        <v>2253</v>
      </c>
      <c r="M276" s="25">
        <v>328.56</v>
      </c>
      <c r="N276" s="25">
        <f t="shared" si="4"/>
        <v>400.84319999999997</v>
      </c>
    </row>
    <row r="277" spans="2:14" ht="43.5" customHeight="1" x14ac:dyDescent="0.35">
      <c r="B277" s="20" t="s">
        <v>1102</v>
      </c>
      <c r="C277" s="20" t="s">
        <v>1157</v>
      </c>
      <c r="D277" s="20" t="s">
        <v>1410</v>
      </c>
      <c r="E277" s="20" t="s">
        <v>1411</v>
      </c>
      <c r="F277" s="20" t="s">
        <v>1412</v>
      </c>
      <c r="G277" s="20" t="s">
        <v>997</v>
      </c>
      <c r="H277" s="20" t="s">
        <v>718</v>
      </c>
      <c r="I277" s="21" t="s">
        <v>1107</v>
      </c>
      <c r="J277" s="22" t="s">
        <v>33</v>
      </c>
      <c r="K277" s="23">
        <f>L277/1.22*1</f>
        <v>1796.7213114754099</v>
      </c>
      <c r="L277" s="26">
        <v>2192</v>
      </c>
      <c r="M277" s="25">
        <v>531.84</v>
      </c>
      <c r="N277" s="25">
        <f t="shared" si="4"/>
        <v>648.84480000000008</v>
      </c>
    </row>
    <row r="278" spans="2:14" ht="43.5" customHeight="1" x14ac:dyDescent="0.35">
      <c r="B278" s="20" t="s">
        <v>1102</v>
      </c>
      <c r="C278" s="20" t="s">
        <v>1157</v>
      </c>
      <c r="D278" s="20" t="s">
        <v>1413</v>
      </c>
      <c r="E278" s="20" t="s">
        <v>1414</v>
      </c>
      <c r="F278" s="20" t="s">
        <v>1412</v>
      </c>
      <c r="G278" s="20" t="s">
        <v>997</v>
      </c>
      <c r="H278" s="20" t="s">
        <v>718</v>
      </c>
      <c r="I278" s="21" t="s">
        <v>1107</v>
      </c>
      <c r="J278" s="22" t="s">
        <v>33</v>
      </c>
      <c r="K278" s="23">
        <f>L278/1.22*1</f>
        <v>1804.0983606557377</v>
      </c>
      <c r="L278" s="26">
        <v>2201</v>
      </c>
      <c r="M278" s="25">
        <v>426.92</v>
      </c>
      <c r="N278" s="25">
        <f t="shared" si="4"/>
        <v>520.8424</v>
      </c>
    </row>
    <row r="279" spans="2:14" ht="43.5" customHeight="1" x14ac:dyDescent="0.35">
      <c r="B279" s="20" t="s">
        <v>1102</v>
      </c>
      <c r="C279" s="20" t="s">
        <v>1157</v>
      </c>
      <c r="D279" s="20" t="s">
        <v>1415</v>
      </c>
      <c r="E279" s="20" t="s">
        <v>1416</v>
      </c>
      <c r="F279" s="20" t="s">
        <v>1417</v>
      </c>
      <c r="G279" s="20" t="s">
        <v>997</v>
      </c>
      <c r="H279" s="20" t="s">
        <v>718</v>
      </c>
      <c r="I279" s="21" t="s">
        <v>1107</v>
      </c>
      <c r="J279" s="22" t="s">
        <v>33</v>
      </c>
      <c r="K279" s="23">
        <f>L279/1.22*1</f>
        <v>1663.9344262295083</v>
      </c>
      <c r="L279" s="26">
        <v>2030</v>
      </c>
      <c r="M279" s="25">
        <v>378.56</v>
      </c>
      <c r="N279" s="25">
        <f t="shared" si="4"/>
        <v>461.84319999999997</v>
      </c>
    </row>
    <row r="280" spans="2:14" ht="43.5" customHeight="1" x14ac:dyDescent="0.35">
      <c r="B280" s="20" t="s">
        <v>1102</v>
      </c>
      <c r="C280" s="20" t="s">
        <v>1161</v>
      </c>
      <c r="D280" s="20" t="s">
        <v>1418</v>
      </c>
      <c r="E280" s="20" t="s">
        <v>1419</v>
      </c>
      <c r="F280" s="20" t="s">
        <v>1420</v>
      </c>
      <c r="G280" s="20" t="s">
        <v>997</v>
      </c>
      <c r="H280" s="20" t="s">
        <v>718</v>
      </c>
      <c r="I280" s="21" t="s">
        <v>1107</v>
      </c>
      <c r="J280" s="22" t="s">
        <v>33</v>
      </c>
      <c r="K280" s="23">
        <f>L280/1.22*1</f>
        <v>1140.983606557377</v>
      </c>
      <c r="L280" s="26">
        <v>1392</v>
      </c>
      <c r="M280" s="25">
        <v>345.77</v>
      </c>
      <c r="N280" s="25">
        <f t="shared" si="4"/>
        <v>421.83939999999996</v>
      </c>
    </row>
    <row r="281" spans="2:14" ht="43.5" customHeight="1" x14ac:dyDescent="0.35">
      <c r="B281" s="20" t="s">
        <v>1102</v>
      </c>
      <c r="C281" s="20" t="s">
        <v>1157</v>
      </c>
      <c r="D281" s="20" t="s">
        <v>1206</v>
      </c>
      <c r="E281" s="20" t="s">
        <v>1421</v>
      </c>
      <c r="F281" s="20" t="s">
        <v>1422</v>
      </c>
      <c r="G281" s="20" t="s">
        <v>997</v>
      </c>
      <c r="H281" s="20" t="s">
        <v>718</v>
      </c>
      <c r="I281" s="21" t="s">
        <v>1110</v>
      </c>
      <c r="J281" s="22" t="s">
        <v>33</v>
      </c>
      <c r="K281" s="23">
        <f>L281/1.22*1</f>
        <v>496.72131147540983</v>
      </c>
      <c r="L281" s="26">
        <v>606</v>
      </c>
      <c r="M281" s="25">
        <v>373.64</v>
      </c>
      <c r="N281" s="25">
        <f t="shared" si="4"/>
        <v>455.8408</v>
      </c>
    </row>
    <row r="282" spans="2:14" ht="43.5" customHeight="1" x14ac:dyDescent="0.35">
      <c r="B282" s="20" t="s">
        <v>1102</v>
      </c>
      <c r="C282" s="20" t="s">
        <v>1161</v>
      </c>
      <c r="D282" s="20" t="s">
        <v>1423</v>
      </c>
      <c r="E282" s="20" t="s">
        <v>1424</v>
      </c>
      <c r="F282" s="20" t="s">
        <v>1425</v>
      </c>
      <c r="G282" s="20" t="s">
        <v>997</v>
      </c>
      <c r="H282" s="20" t="s">
        <v>718</v>
      </c>
      <c r="I282" s="21" t="s">
        <v>1107</v>
      </c>
      <c r="J282" s="22" t="s">
        <v>33</v>
      </c>
      <c r="K282" s="23">
        <f>L282/1.22*1</f>
        <v>516.39344262295083</v>
      </c>
      <c r="L282" s="26">
        <v>630</v>
      </c>
      <c r="M282" s="25">
        <v>421.18</v>
      </c>
      <c r="N282" s="25">
        <f t="shared" si="4"/>
        <v>513.83960000000002</v>
      </c>
    </row>
    <row r="283" spans="2:14" ht="43.5" customHeight="1" x14ac:dyDescent="0.35">
      <c r="B283" s="20" t="s">
        <v>1102</v>
      </c>
      <c r="C283" s="20" t="s">
        <v>1157</v>
      </c>
      <c r="D283" s="20" t="s">
        <v>1426</v>
      </c>
      <c r="E283" s="20" t="s">
        <v>1427</v>
      </c>
      <c r="F283" s="20" t="s">
        <v>1428</v>
      </c>
      <c r="G283" s="20" t="s">
        <v>997</v>
      </c>
      <c r="H283" s="20" t="s">
        <v>718</v>
      </c>
      <c r="I283" s="21" t="s">
        <v>1107</v>
      </c>
      <c r="J283" s="22" t="s">
        <v>33</v>
      </c>
      <c r="K283" s="23">
        <f>L283/1.22*1</f>
        <v>645.08196721311481</v>
      </c>
      <c r="L283" s="26">
        <v>787</v>
      </c>
      <c r="M283" s="25">
        <v>447.41</v>
      </c>
      <c r="N283" s="25">
        <f t="shared" si="4"/>
        <v>545.84019999999998</v>
      </c>
    </row>
    <row r="284" spans="2:14" ht="43.5" customHeight="1" x14ac:dyDescent="0.35">
      <c r="B284" s="20" t="s">
        <v>1102</v>
      </c>
      <c r="C284" s="20" t="s">
        <v>1103</v>
      </c>
      <c r="D284" s="20" t="s">
        <v>1429</v>
      </c>
      <c r="E284" s="20" t="s">
        <v>1430</v>
      </c>
      <c r="F284" s="20" t="s">
        <v>1431</v>
      </c>
      <c r="G284" s="20" t="s">
        <v>997</v>
      </c>
      <c r="H284" s="20" t="s">
        <v>718</v>
      </c>
      <c r="I284" s="21" t="s">
        <v>1107</v>
      </c>
      <c r="J284" s="22" t="s">
        <v>33</v>
      </c>
      <c r="K284" s="23">
        <f>L284/1.22*1</f>
        <v>540.1639344262295</v>
      </c>
      <c r="L284" s="26">
        <v>659</v>
      </c>
      <c r="M284" s="25">
        <v>306.43</v>
      </c>
      <c r="N284" s="25">
        <f t="shared" si="4"/>
        <v>373.84460000000001</v>
      </c>
    </row>
    <row r="285" spans="2:14" ht="43.5" customHeight="1" x14ac:dyDescent="0.35">
      <c r="B285" s="20" t="s">
        <v>1102</v>
      </c>
      <c r="C285" s="20" t="s">
        <v>1157</v>
      </c>
      <c r="D285" s="20" t="s">
        <v>1432</v>
      </c>
      <c r="E285" s="20" t="s">
        <v>1433</v>
      </c>
      <c r="F285" s="20" t="s">
        <v>1434</v>
      </c>
      <c r="G285" s="20" t="s">
        <v>997</v>
      </c>
      <c r="H285" s="20" t="s">
        <v>718</v>
      </c>
      <c r="I285" s="21" t="s">
        <v>1107</v>
      </c>
      <c r="J285" s="22" t="s">
        <v>33</v>
      </c>
      <c r="K285" s="23">
        <f>L285/1.22*1</f>
        <v>827.86885245901647</v>
      </c>
      <c r="L285" s="26">
        <v>1010</v>
      </c>
      <c r="M285" s="25">
        <v>511.35</v>
      </c>
      <c r="N285" s="25">
        <f t="shared" si="4"/>
        <v>623.84699999999998</v>
      </c>
    </row>
    <row r="286" spans="2:14" ht="43.5" customHeight="1" x14ac:dyDescent="0.35">
      <c r="B286" s="20" t="s">
        <v>1102</v>
      </c>
      <c r="C286" s="20" t="s">
        <v>1157</v>
      </c>
      <c r="D286" s="20" t="s">
        <v>1435</v>
      </c>
      <c r="E286" s="20" t="s">
        <v>1436</v>
      </c>
      <c r="F286" s="20" t="s">
        <v>1434</v>
      </c>
      <c r="G286" s="20" t="s">
        <v>997</v>
      </c>
      <c r="H286" s="20" t="s">
        <v>718</v>
      </c>
      <c r="I286" s="21" t="s">
        <v>1107</v>
      </c>
      <c r="J286" s="22" t="s">
        <v>33</v>
      </c>
      <c r="K286" s="23">
        <f>L286/1.22*1</f>
        <v>1074.5901639344263</v>
      </c>
      <c r="L286" s="26">
        <v>1311</v>
      </c>
      <c r="M286" s="25">
        <v>332.66</v>
      </c>
      <c r="N286" s="25">
        <f t="shared" si="4"/>
        <v>405.84520000000003</v>
      </c>
    </row>
    <row r="287" spans="2:14" ht="43.5" customHeight="1" x14ac:dyDescent="0.35">
      <c r="B287" s="20" t="s">
        <v>1102</v>
      </c>
      <c r="C287" s="20" t="s">
        <v>1103</v>
      </c>
      <c r="D287" s="20" t="s">
        <v>1437</v>
      </c>
      <c r="E287" s="20" t="s">
        <v>1438</v>
      </c>
      <c r="F287" s="20" t="s">
        <v>1439</v>
      </c>
      <c r="G287" s="20" t="s">
        <v>997</v>
      </c>
      <c r="H287" s="20" t="s">
        <v>718</v>
      </c>
      <c r="I287" s="21" t="s">
        <v>1107</v>
      </c>
      <c r="J287" s="22" t="s">
        <v>33</v>
      </c>
      <c r="K287" s="23">
        <f>L287/1.22*1</f>
        <v>507.3770491803279</v>
      </c>
      <c r="L287" s="26">
        <v>619</v>
      </c>
      <c r="M287" s="25">
        <v>468.72</v>
      </c>
      <c r="N287" s="25">
        <f t="shared" si="4"/>
        <v>571.83839999999998</v>
      </c>
    </row>
    <row r="288" spans="2:14" ht="43.5" customHeight="1" x14ac:dyDescent="0.35">
      <c r="B288" s="20" t="s">
        <v>1102</v>
      </c>
      <c r="C288" s="20" t="s">
        <v>1103</v>
      </c>
      <c r="D288" s="20" t="s">
        <v>1437</v>
      </c>
      <c r="E288" s="20" t="s">
        <v>1440</v>
      </c>
      <c r="F288" s="20" t="s">
        <v>1441</v>
      </c>
      <c r="G288" s="20" t="s">
        <v>997</v>
      </c>
      <c r="H288" s="20" t="s">
        <v>718</v>
      </c>
      <c r="I288" s="21" t="s">
        <v>1107</v>
      </c>
      <c r="J288" s="22" t="s">
        <v>33</v>
      </c>
      <c r="K288" s="23">
        <f>L288/1.22*1</f>
        <v>558.19672131147547</v>
      </c>
      <c r="L288" s="26">
        <v>681</v>
      </c>
      <c r="M288" s="25">
        <v>340.86</v>
      </c>
      <c r="N288" s="25">
        <f t="shared" si="4"/>
        <v>415.8492</v>
      </c>
    </row>
    <row r="289" spans="2:14" ht="43.5" customHeight="1" x14ac:dyDescent="0.35">
      <c r="B289" s="20" t="s">
        <v>1102</v>
      </c>
      <c r="C289" s="20" t="s">
        <v>1103</v>
      </c>
      <c r="D289" s="20" t="s">
        <v>1442</v>
      </c>
      <c r="E289" s="20" t="s">
        <v>1443</v>
      </c>
      <c r="F289" s="20" t="s">
        <v>1444</v>
      </c>
      <c r="G289" s="20" t="s">
        <v>997</v>
      </c>
      <c r="H289" s="20" t="s">
        <v>718</v>
      </c>
      <c r="I289" s="21" t="s">
        <v>1107</v>
      </c>
      <c r="J289" s="22" t="s">
        <v>33</v>
      </c>
      <c r="K289" s="23">
        <f>L289/1.22*1</f>
        <v>383.60655737704917</v>
      </c>
      <c r="L289" s="26">
        <v>468</v>
      </c>
      <c r="M289" s="25">
        <v>370.36</v>
      </c>
      <c r="N289" s="25">
        <f t="shared" si="4"/>
        <v>451.83920000000001</v>
      </c>
    </row>
    <row r="290" spans="2:14" ht="43.5" customHeight="1" x14ac:dyDescent="0.35">
      <c r="B290" s="20" t="s">
        <v>1102</v>
      </c>
      <c r="C290" s="20" t="s">
        <v>1103</v>
      </c>
      <c r="D290" s="20" t="s">
        <v>1442</v>
      </c>
      <c r="E290" s="20" t="s">
        <v>1445</v>
      </c>
      <c r="F290" s="20" t="s">
        <v>1446</v>
      </c>
      <c r="G290" s="20" t="s">
        <v>997</v>
      </c>
      <c r="H290" s="20" t="s">
        <v>718</v>
      </c>
      <c r="I290" s="21" t="s">
        <v>1107</v>
      </c>
      <c r="J290" s="22" t="s">
        <v>33</v>
      </c>
      <c r="K290" s="23">
        <f>L290/1.22*1</f>
        <v>308.19672131147541</v>
      </c>
      <c r="L290" s="26">
        <v>376</v>
      </c>
      <c r="M290" s="25">
        <v>323.64</v>
      </c>
      <c r="N290" s="25">
        <f t="shared" si="4"/>
        <v>394.8408</v>
      </c>
    </row>
    <row r="291" spans="2:14" ht="43.5" customHeight="1" x14ac:dyDescent="0.35">
      <c r="B291" s="20" t="s">
        <v>1102</v>
      </c>
      <c r="C291" s="20" t="s">
        <v>1103</v>
      </c>
      <c r="D291" s="20" t="s">
        <v>1442</v>
      </c>
      <c r="E291" s="20" t="s">
        <v>1447</v>
      </c>
      <c r="F291" s="20" t="s">
        <v>1448</v>
      </c>
      <c r="G291" s="20" t="s">
        <v>997</v>
      </c>
      <c r="H291" s="20" t="s">
        <v>718</v>
      </c>
      <c r="I291" s="21" t="s">
        <v>1107</v>
      </c>
      <c r="J291" s="22" t="s">
        <v>33</v>
      </c>
      <c r="K291" s="23">
        <f>L291/1.22*1</f>
        <v>381.96721311475409</v>
      </c>
      <c r="L291" s="26">
        <v>466</v>
      </c>
      <c r="M291" s="25">
        <v>323.64</v>
      </c>
      <c r="N291" s="25">
        <f t="shared" si="4"/>
        <v>394.8408</v>
      </c>
    </row>
    <row r="292" spans="2:14" ht="43.5" customHeight="1" x14ac:dyDescent="0.35">
      <c r="B292" s="20" t="s">
        <v>1102</v>
      </c>
      <c r="C292" s="20" t="s">
        <v>1103</v>
      </c>
      <c r="D292" s="20" t="s">
        <v>1442</v>
      </c>
      <c r="E292" s="20" t="s">
        <v>1449</v>
      </c>
      <c r="F292" s="20" t="s">
        <v>1450</v>
      </c>
      <c r="G292" s="20" t="s">
        <v>997</v>
      </c>
      <c r="H292" s="20" t="s">
        <v>718</v>
      </c>
      <c r="I292" s="21" t="s">
        <v>1107</v>
      </c>
      <c r="J292" s="22" t="s">
        <v>33</v>
      </c>
      <c r="K292" s="23">
        <f>L292/1.22*1</f>
        <v>431.96721311475409</v>
      </c>
      <c r="L292" s="26">
        <v>527</v>
      </c>
      <c r="M292" s="25">
        <v>322</v>
      </c>
      <c r="N292" s="25">
        <f t="shared" si="4"/>
        <v>392.84</v>
      </c>
    </row>
    <row r="293" spans="2:14" ht="43.5" customHeight="1" x14ac:dyDescent="0.35">
      <c r="B293" s="20" t="s">
        <v>1102</v>
      </c>
      <c r="C293" s="20" t="s">
        <v>1103</v>
      </c>
      <c r="D293" s="20" t="s">
        <v>1442</v>
      </c>
      <c r="E293" s="20" t="s">
        <v>1451</v>
      </c>
      <c r="F293" s="20" t="s">
        <v>1452</v>
      </c>
      <c r="G293" s="20" t="s">
        <v>997</v>
      </c>
      <c r="H293" s="20" t="s">
        <v>718</v>
      </c>
      <c r="I293" s="21" t="s">
        <v>1107</v>
      </c>
      <c r="J293" s="22" t="s">
        <v>33</v>
      </c>
      <c r="K293" s="23">
        <f>L293/1.22*1</f>
        <v>794.26229508196718</v>
      </c>
      <c r="L293" s="26">
        <v>969</v>
      </c>
      <c r="M293" s="25">
        <v>558.07000000000005</v>
      </c>
      <c r="N293" s="25">
        <f t="shared" si="4"/>
        <v>680.84540000000004</v>
      </c>
    </row>
    <row r="294" spans="2:14" ht="43.5" customHeight="1" x14ac:dyDescent="0.35">
      <c r="B294" s="20" t="s">
        <v>1102</v>
      </c>
      <c r="C294" s="20" t="s">
        <v>1157</v>
      </c>
      <c r="D294" s="20" t="s">
        <v>1453</v>
      </c>
      <c r="E294" s="20" t="s">
        <v>1454</v>
      </c>
      <c r="F294" s="20" t="s">
        <v>1455</v>
      </c>
      <c r="G294" s="20" t="s">
        <v>997</v>
      </c>
      <c r="H294" s="20" t="s">
        <v>718</v>
      </c>
      <c r="I294" s="21" t="s">
        <v>1107</v>
      </c>
      <c r="J294" s="22" t="s">
        <v>33</v>
      </c>
      <c r="K294" s="23">
        <f>L294/1.22*1</f>
        <v>510.65573770491807</v>
      </c>
      <c r="L294" s="26">
        <v>623</v>
      </c>
      <c r="M294" s="25">
        <v>318.72000000000003</v>
      </c>
      <c r="N294" s="25">
        <f t="shared" si="4"/>
        <v>388.83840000000004</v>
      </c>
    </row>
    <row r="295" spans="2:14" ht="43.5" customHeight="1" x14ac:dyDescent="0.35">
      <c r="B295" s="20" t="s">
        <v>1102</v>
      </c>
      <c r="C295" s="20" t="s">
        <v>1157</v>
      </c>
      <c r="D295" s="20" t="s">
        <v>1456</v>
      </c>
      <c r="E295" s="20" t="s">
        <v>1457</v>
      </c>
      <c r="F295" s="20" t="s">
        <v>1455</v>
      </c>
      <c r="G295" s="20" t="s">
        <v>997</v>
      </c>
      <c r="H295" s="20" t="s">
        <v>718</v>
      </c>
      <c r="I295" s="21" t="s">
        <v>1107</v>
      </c>
      <c r="J295" s="22" t="s">
        <v>33</v>
      </c>
      <c r="K295" s="23">
        <f>L295/1.22*1</f>
        <v>209.01639344262296</v>
      </c>
      <c r="L295" s="26">
        <v>255</v>
      </c>
      <c r="M295" s="25">
        <v>418.72</v>
      </c>
      <c r="N295" s="25">
        <f t="shared" si="4"/>
        <v>510.83840000000004</v>
      </c>
    </row>
    <row r="296" spans="2:14" ht="43.5" customHeight="1" x14ac:dyDescent="0.35">
      <c r="B296" s="20" t="s">
        <v>1102</v>
      </c>
      <c r="C296" s="20" t="s">
        <v>1157</v>
      </c>
      <c r="D296" s="20" t="s">
        <v>1458</v>
      </c>
      <c r="E296" s="20" t="s">
        <v>1459</v>
      </c>
      <c r="F296" s="20" t="s">
        <v>1460</v>
      </c>
      <c r="G296" s="20" t="s">
        <v>997</v>
      </c>
      <c r="H296" s="20" t="s">
        <v>718</v>
      </c>
      <c r="I296" s="21" t="s">
        <v>1107</v>
      </c>
      <c r="J296" s="22" t="s">
        <v>33</v>
      </c>
      <c r="K296" s="23">
        <f>L296/1.22*1</f>
        <v>645.08196721311481</v>
      </c>
      <c r="L296" s="26">
        <v>787</v>
      </c>
      <c r="M296" s="25">
        <v>344.95</v>
      </c>
      <c r="N296" s="25">
        <f t="shared" si="4"/>
        <v>420.839</v>
      </c>
    </row>
    <row r="297" spans="2:14" ht="43.5" customHeight="1" x14ac:dyDescent="0.35">
      <c r="B297" s="20" t="s">
        <v>25</v>
      </c>
      <c r="C297" s="20" t="s">
        <v>26</v>
      </c>
      <c r="D297" s="20" t="s">
        <v>27</v>
      </c>
      <c r="E297" s="20" t="s">
        <v>28</v>
      </c>
      <c r="F297" s="20" t="s">
        <v>29</v>
      </c>
      <c r="G297" s="20" t="s">
        <v>30</v>
      </c>
      <c r="H297" s="20" t="s">
        <v>31</v>
      </c>
      <c r="I297" s="21" t="s">
        <v>32</v>
      </c>
      <c r="J297" s="22" t="s">
        <v>33</v>
      </c>
      <c r="K297" s="23">
        <f>L297/1.22*1</f>
        <v>516.39344262295083</v>
      </c>
      <c r="L297" s="24">
        <v>630</v>
      </c>
      <c r="M297" s="25">
        <v>413.81</v>
      </c>
      <c r="N297" s="25">
        <f t="shared" si="4"/>
        <v>504.84820000000002</v>
      </c>
    </row>
    <row r="298" spans="2:14" ht="43.5" customHeight="1" x14ac:dyDescent="0.35">
      <c r="B298" s="20" t="s">
        <v>25</v>
      </c>
      <c r="C298" s="20" t="s">
        <v>26</v>
      </c>
      <c r="D298" s="20" t="s">
        <v>34</v>
      </c>
      <c r="E298" s="20" t="s">
        <v>35</v>
      </c>
      <c r="F298" s="20" t="s">
        <v>36</v>
      </c>
      <c r="G298" s="20" t="s">
        <v>37</v>
      </c>
      <c r="H298" s="20" t="s">
        <v>31</v>
      </c>
      <c r="I298" s="21" t="s">
        <v>32</v>
      </c>
      <c r="J298" s="22" t="s">
        <v>33</v>
      </c>
      <c r="K298" s="23">
        <f>L298/1.22*1</f>
        <v>501.63934426229508</v>
      </c>
      <c r="L298" s="24">
        <v>612</v>
      </c>
      <c r="M298" s="25">
        <v>272</v>
      </c>
      <c r="N298" s="25">
        <f t="shared" si="4"/>
        <v>331.84</v>
      </c>
    </row>
    <row r="299" spans="2:14" ht="43.5" customHeight="1" x14ac:dyDescent="0.35">
      <c r="B299" s="20" t="s">
        <v>25</v>
      </c>
      <c r="C299" s="20" t="s">
        <v>26</v>
      </c>
      <c r="D299" s="20" t="s">
        <v>38</v>
      </c>
      <c r="E299" s="20" t="s">
        <v>39</v>
      </c>
      <c r="F299" s="20" t="s">
        <v>40</v>
      </c>
      <c r="G299" s="20" t="s">
        <v>30</v>
      </c>
      <c r="H299" s="20" t="s">
        <v>31</v>
      </c>
      <c r="I299" s="21" t="s">
        <v>32</v>
      </c>
      <c r="J299" s="22" t="s">
        <v>33</v>
      </c>
      <c r="K299" s="23">
        <f>L299/1.22*1</f>
        <v>546.72131147540983</v>
      </c>
      <c r="L299" s="24">
        <v>667</v>
      </c>
      <c r="M299" s="25">
        <v>358.07</v>
      </c>
      <c r="N299" s="25">
        <f t="shared" si="4"/>
        <v>436.84539999999998</v>
      </c>
    </row>
    <row r="300" spans="2:14" ht="43.5" customHeight="1" x14ac:dyDescent="0.35">
      <c r="B300" s="20" t="s">
        <v>25</v>
      </c>
      <c r="C300" s="20" t="s">
        <v>26</v>
      </c>
      <c r="D300" s="20" t="s">
        <v>41</v>
      </c>
      <c r="E300" s="20" t="s">
        <v>42</v>
      </c>
      <c r="F300" s="20" t="s">
        <v>43</v>
      </c>
      <c r="G300" s="20" t="s">
        <v>37</v>
      </c>
      <c r="H300" s="20" t="s">
        <v>31</v>
      </c>
      <c r="I300" s="21" t="s">
        <v>32</v>
      </c>
      <c r="J300" s="22" t="s">
        <v>33</v>
      </c>
      <c r="K300" s="23">
        <f>L300/1.22*1</f>
        <v>426.22950819672133</v>
      </c>
      <c r="L300" s="24">
        <v>520</v>
      </c>
      <c r="M300" s="25">
        <v>441.68</v>
      </c>
      <c r="N300" s="25">
        <f t="shared" si="4"/>
        <v>538.84960000000001</v>
      </c>
    </row>
    <row r="301" spans="2:14" ht="43.5" customHeight="1" x14ac:dyDescent="0.35">
      <c r="B301" s="20" t="s">
        <v>25</v>
      </c>
      <c r="C301" s="20" t="s">
        <v>26</v>
      </c>
      <c r="D301" s="20" t="s">
        <v>44</v>
      </c>
      <c r="E301" s="20" t="s">
        <v>45</v>
      </c>
      <c r="F301" s="20" t="s">
        <v>46</v>
      </c>
      <c r="G301" s="20" t="s">
        <v>30</v>
      </c>
      <c r="H301" s="20" t="s">
        <v>31</v>
      </c>
      <c r="I301" s="21" t="s">
        <v>32</v>
      </c>
      <c r="J301" s="22" t="s">
        <v>33</v>
      </c>
      <c r="K301" s="23">
        <f>L301/1.22*1</f>
        <v>512.29508196721315</v>
      </c>
      <c r="L301" s="24">
        <v>625</v>
      </c>
      <c r="M301" s="25">
        <v>392.5</v>
      </c>
      <c r="N301" s="25">
        <f t="shared" si="4"/>
        <v>478.84999999999997</v>
      </c>
    </row>
    <row r="302" spans="2:14" ht="43.5" customHeight="1" x14ac:dyDescent="0.35">
      <c r="B302" s="20" t="s">
        <v>25</v>
      </c>
      <c r="C302" s="20" t="s">
        <v>26</v>
      </c>
      <c r="D302" s="20" t="s">
        <v>47</v>
      </c>
      <c r="E302" s="20" t="s">
        <v>48</v>
      </c>
      <c r="F302" s="20" t="s">
        <v>49</v>
      </c>
      <c r="G302" s="20" t="s">
        <v>37</v>
      </c>
      <c r="H302" s="20" t="s">
        <v>31</v>
      </c>
      <c r="I302" s="21" t="s">
        <v>32</v>
      </c>
      <c r="J302" s="22" t="s">
        <v>33</v>
      </c>
      <c r="K302" s="23">
        <f>L302/1.22*1</f>
        <v>441.80327868852459</v>
      </c>
      <c r="L302" s="24">
        <v>539</v>
      </c>
      <c r="M302" s="25">
        <v>302.33</v>
      </c>
      <c r="N302" s="25">
        <f t="shared" si="4"/>
        <v>368.84259999999995</v>
      </c>
    </row>
    <row r="303" spans="2:14" ht="43.5" customHeight="1" x14ac:dyDescent="0.35">
      <c r="B303" s="20" t="s">
        <v>25</v>
      </c>
      <c r="C303" s="20" t="s">
        <v>26</v>
      </c>
      <c r="D303" s="20" t="s">
        <v>50</v>
      </c>
      <c r="E303" s="20" t="s">
        <v>51</v>
      </c>
      <c r="F303" s="20" t="s">
        <v>52</v>
      </c>
      <c r="G303" s="20" t="s">
        <v>37</v>
      </c>
      <c r="H303" s="20" t="s">
        <v>31</v>
      </c>
      <c r="I303" s="21" t="s">
        <v>32</v>
      </c>
      <c r="J303" s="22" t="s">
        <v>33</v>
      </c>
      <c r="K303" s="23">
        <f>L303/1.22*1</f>
        <v>501.63934426229508</v>
      </c>
      <c r="L303" s="24">
        <v>612</v>
      </c>
      <c r="M303" s="25">
        <v>258.07</v>
      </c>
      <c r="N303" s="25">
        <f t="shared" si="4"/>
        <v>314.84539999999998</v>
      </c>
    </row>
    <row r="304" spans="2:14" ht="43.5" customHeight="1" x14ac:dyDescent="0.35">
      <c r="B304" s="20" t="s">
        <v>25</v>
      </c>
      <c r="C304" s="20" t="s">
        <v>26</v>
      </c>
      <c r="D304" s="20" t="s">
        <v>53</v>
      </c>
      <c r="E304" s="35" t="s">
        <v>54</v>
      </c>
      <c r="F304" s="20" t="s">
        <v>55</v>
      </c>
      <c r="G304" s="20" t="s">
        <v>37</v>
      </c>
      <c r="H304" s="20" t="s">
        <v>31</v>
      </c>
      <c r="I304" s="21" t="s">
        <v>32</v>
      </c>
      <c r="J304" s="22" t="s">
        <v>33</v>
      </c>
      <c r="K304" s="23">
        <f>L304/1.22*1</f>
        <v>524.59016393442619</v>
      </c>
      <c r="L304" s="24">
        <v>640</v>
      </c>
      <c r="M304" s="25">
        <v>430.2</v>
      </c>
      <c r="N304" s="25">
        <f t="shared" si="4"/>
        <v>524.84399999999994</v>
      </c>
    </row>
    <row r="305" spans="2:14" ht="43.5" customHeight="1" x14ac:dyDescent="0.35">
      <c r="B305" s="20" t="s">
        <v>25</v>
      </c>
      <c r="C305" s="20" t="s">
        <v>26</v>
      </c>
      <c r="D305" s="20" t="s">
        <v>56</v>
      </c>
      <c r="E305" s="20" t="s">
        <v>57</v>
      </c>
      <c r="F305" s="20" t="s">
        <v>58</v>
      </c>
      <c r="G305" s="20" t="s">
        <v>59</v>
      </c>
      <c r="H305" s="20" t="s">
        <v>31</v>
      </c>
      <c r="I305" s="21" t="s">
        <v>32</v>
      </c>
      <c r="J305" s="22" t="s">
        <v>33</v>
      </c>
      <c r="K305" s="23">
        <f>L305/1.22*1</f>
        <v>413.93442622950823</v>
      </c>
      <c r="L305" s="24">
        <v>505</v>
      </c>
      <c r="M305" s="25">
        <v>468.72</v>
      </c>
      <c r="N305" s="25">
        <f t="shared" si="4"/>
        <v>571.83839999999998</v>
      </c>
    </row>
    <row r="306" spans="2:14" ht="43.5" customHeight="1" x14ac:dyDescent="0.35">
      <c r="B306" s="20" t="s">
        <v>25</v>
      </c>
      <c r="C306" s="20" t="s">
        <v>26</v>
      </c>
      <c r="D306" s="20" t="s">
        <v>60</v>
      </c>
      <c r="E306" s="20" t="s">
        <v>61</v>
      </c>
      <c r="F306" s="20" t="s">
        <v>62</v>
      </c>
      <c r="G306" s="20" t="s">
        <v>59</v>
      </c>
      <c r="H306" s="20" t="s">
        <v>31</v>
      </c>
      <c r="I306" s="21" t="s">
        <v>32</v>
      </c>
      <c r="J306" s="22" t="s">
        <v>33</v>
      </c>
      <c r="K306" s="23">
        <f>L306/1.22*1</f>
        <v>445.08196721311475</v>
      </c>
      <c r="L306" s="24">
        <v>543</v>
      </c>
      <c r="M306" s="25">
        <v>378.56</v>
      </c>
      <c r="N306" s="25">
        <f t="shared" si="4"/>
        <v>461.84319999999997</v>
      </c>
    </row>
    <row r="307" spans="2:14" ht="43.5" customHeight="1" x14ac:dyDescent="0.35">
      <c r="B307" s="20" t="s">
        <v>25</v>
      </c>
      <c r="C307" s="20" t="s">
        <v>26</v>
      </c>
      <c r="D307" s="20" t="s">
        <v>63</v>
      </c>
      <c r="E307" s="20" t="s">
        <v>64</v>
      </c>
      <c r="F307" s="20" t="s">
        <v>65</v>
      </c>
      <c r="G307" s="20" t="s">
        <v>66</v>
      </c>
      <c r="H307" s="20" t="s">
        <v>67</v>
      </c>
      <c r="I307" s="21" t="s">
        <v>32</v>
      </c>
      <c r="J307" s="22" t="s">
        <v>33</v>
      </c>
      <c r="K307" s="23">
        <f>L307/1.22*1</f>
        <v>524.59016393442619</v>
      </c>
      <c r="L307" s="24">
        <v>640</v>
      </c>
      <c r="M307" s="25">
        <v>584.29999999999995</v>
      </c>
      <c r="N307" s="25">
        <f t="shared" si="4"/>
        <v>712.84599999999989</v>
      </c>
    </row>
    <row r="308" spans="2:14" ht="43.5" customHeight="1" x14ac:dyDescent="0.35">
      <c r="B308" s="20" t="s">
        <v>25</v>
      </c>
      <c r="C308" s="20" t="s">
        <v>26</v>
      </c>
      <c r="D308" s="20" t="s">
        <v>68</v>
      </c>
      <c r="E308" s="20" t="s">
        <v>69</v>
      </c>
      <c r="F308" s="20" t="s">
        <v>70</v>
      </c>
      <c r="G308" s="20" t="s">
        <v>71</v>
      </c>
      <c r="H308" s="20" t="s">
        <v>67</v>
      </c>
      <c r="I308" s="21" t="s">
        <v>32</v>
      </c>
      <c r="J308" s="22" t="s">
        <v>33</v>
      </c>
      <c r="K308" s="23">
        <f>L308/1.22*1</f>
        <v>620.49180327868851</v>
      </c>
      <c r="L308" s="24">
        <v>757</v>
      </c>
      <c r="M308" s="25">
        <v>358.07</v>
      </c>
      <c r="N308" s="25">
        <f t="shared" si="4"/>
        <v>436.84539999999998</v>
      </c>
    </row>
    <row r="309" spans="2:14" ht="43.5" customHeight="1" x14ac:dyDescent="0.35">
      <c r="B309" s="20" t="s">
        <v>25</v>
      </c>
      <c r="C309" s="20" t="s">
        <v>26</v>
      </c>
      <c r="D309" s="20" t="s">
        <v>72</v>
      </c>
      <c r="E309" s="20" t="s">
        <v>73</v>
      </c>
      <c r="F309" s="20" t="s">
        <v>74</v>
      </c>
      <c r="G309" s="20" t="s">
        <v>71</v>
      </c>
      <c r="H309" s="20" t="s">
        <v>67</v>
      </c>
      <c r="I309" s="21" t="s">
        <v>32</v>
      </c>
      <c r="J309" s="22" t="s">
        <v>33</v>
      </c>
      <c r="K309" s="23">
        <f>L309/1.22*1</f>
        <v>501.63934426229508</v>
      </c>
      <c r="L309" s="24">
        <v>612</v>
      </c>
      <c r="M309" s="25">
        <v>409.71</v>
      </c>
      <c r="N309" s="25">
        <f t="shared" si="4"/>
        <v>499.84619999999995</v>
      </c>
    </row>
    <row r="310" spans="2:14" ht="43.5" customHeight="1" x14ac:dyDescent="0.35">
      <c r="B310" s="20" t="s">
        <v>25</v>
      </c>
      <c r="C310" s="20" t="s">
        <v>26</v>
      </c>
      <c r="D310" s="20" t="s">
        <v>75</v>
      </c>
      <c r="E310" s="20" t="s">
        <v>76</v>
      </c>
      <c r="F310" s="20" t="s">
        <v>77</v>
      </c>
      <c r="G310" s="20" t="s">
        <v>71</v>
      </c>
      <c r="H310" s="20" t="s">
        <v>67</v>
      </c>
      <c r="I310" s="21" t="s">
        <v>32</v>
      </c>
      <c r="J310" s="22" t="s">
        <v>33</v>
      </c>
      <c r="K310" s="23">
        <f>L310/1.22*1</f>
        <v>567.21311475409834</v>
      </c>
      <c r="L310" s="24">
        <v>692</v>
      </c>
      <c r="M310" s="25">
        <v>413.81</v>
      </c>
      <c r="N310" s="25">
        <f t="shared" si="4"/>
        <v>504.84820000000002</v>
      </c>
    </row>
    <row r="311" spans="2:14" ht="43.5" customHeight="1" x14ac:dyDescent="0.35">
      <c r="B311" s="20" t="s">
        <v>25</v>
      </c>
      <c r="C311" s="20" t="s">
        <v>26</v>
      </c>
      <c r="D311" s="20" t="s">
        <v>78</v>
      </c>
      <c r="E311" s="20" t="s">
        <v>79</v>
      </c>
      <c r="F311" s="20" t="s">
        <v>80</v>
      </c>
      <c r="G311" s="20" t="s">
        <v>71</v>
      </c>
      <c r="H311" s="20" t="s">
        <v>67</v>
      </c>
      <c r="I311" s="21" t="s">
        <v>32</v>
      </c>
      <c r="J311" s="22" t="s">
        <v>33</v>
      </c>
      <c r="K311" s="23">
        <f>L311/1.22*1</f>
        <v>542.62295081967216</v>
      </c>
      <c r="L311" s="24">
        <v>662</v>
      </c>
      <c r="M311" s="25">
        <v>457.25</v>
      </c>
      <c r="N311" s="25">
        <f t="shared" si="4"/>
        <v>557.84500000000003</v>
      </c>
    </row>
    <row r="312" spans="2:14" ht="43.5" customHeight="1" x14ac:dyDescent="0.35">
      <c r="B312" s="20" t="s">
        <v>25</v>
      </c>
      <c r="C312" s="20" t="s">
        <v>26</v>
      </c>
      <c r="D312" s="20" t="s">
        <v>81</v>
      </c>
      <c r="E312" s="20" t="s">
        <v>82</v>
      </c>
      <c r="F312" s="20" t="s">
        <v>83</v>
      </c>
      <c r="G312" s="20" t="s">
        <v>71</v>
      </c>
      <c r="H312" s="20" t="s">
        <v>67</v>
      </c>
      <c r="I312" s="21" t="s">
        <v>32</v>
      </c>
      <c r="J312" s="22" t="s">
        <v>33</v>
      </c>
      <c r="K312" s="23">
        <f>L312/1.22*1</f>
        <v>545.90163934426232</v>
      </c>
      <c r="L312" s="24">
        <v>666</v>
      </c>
      <c r="M312" s="25">
        <v>362.17</v>
      </c>
      <c r="N312" s="25">
        <f t="shared" si="4"/>
        <v>441.84739999999999</v>
      </c>
    </row>
    <row r="313" spans="2:14" ht="43.5" customHeight="1" x14ac:dyDescent="0.35">
      <c r="B313" s="20" t="s">
        <v>25</v>
      </c>
      <c r="C313" s="20" t="s">
        <v>26</v>
      </c>
      <c r="D313" s="20" t="s">
        <v>84</v>
      </c>
      <c r="E313" s="20" t="s">
        <v>85</v>
      </c>
      <c r="F313" s="20" t="s">
        <v>86</v>
      </c>
      <c r="G313" s="20" t="s">
        <v>71</v>
      </c>
      <c r="H313" s="20" t="s">
        <v>67</v>
      </c>
      <c r="I313" s="21" t="s">
        <v>32</v>
      </c>
      <c r="J313" s="22" t="s">
        <v>33</v>
      </c>
      <c r="K313" s="23">
        <f>L313/1.22*1</f>
        <v>507.3770491803279</v>
      </c>
      <c r="L313" s="24">
        <v>619</v>
      </c>
      <c r="M313" s="25">
        <v>371.18</v>
      </c>
      <c r="N313" s="25">
        <f t="shared" si="4"/>
        <v>452.83960000000002</v>
      </c>
    </row>
    <row r="314" spans="2:14" ht="43.5" customHeight="1" x14ac:dyDescent="0.35">
      <c r="B314" s="20" t="s">
        <v>25</v>
      </c>
      <c r="C314" s="20" t="s">
        <v>26</v>
      </c>
      <c r="D314" s="20" t="s">
        <v>87</v>
      </c>
      <c r="E314" s="20" t="s">
        <v>88</v>
      </c>
      <c r="F314" s="20" t="s">
        <v>89</v>
      </c>
      <c r="G314" s="20" t="s">
        <v>71</v>
      </c>
      <c r="H314" s="20" t="s">
        <v>67</v>
      </c>
      <c r="I314" s="21" t="s">
        <v>32</v>
      </c>
      <c r="J314" s="22" t="s">
        <v>33</v>
      </c>
      <c r="K314" s="23">
        <f>L314/1.22*1</f>
        <v>519.67213114754099</v>
      </c>
      <c r="L314" s="24">
        <v>634</v>
      </c>
      <c r="M314" s="25">
        <v>310.52999999999997</v>
      </c>
      <c r="N314" s="25">
        <f t="shared" si="4"/>
        <v>378.84659999999997</v>
      </c>
    </row>
    <row r="315" spans="2:14" ht="43.5" customHeight="1" x14ac:dyDescent="0.35">
      <c r="B315" s="20" t="s">
        <v>25</v>
      </c>
      <c r="C315" s="20" t="s">
        <v>26</v>
      </c>
      <c r="D315" s="20" t="s">
        <v>90</v>
      </c>
      <c r="E315" s="20" t="s">
        <v>91</v>
      </c>
      <c r="F315" s="20" t="s">
        <v>92</v>
      </c>
      <c r="G315" s="20" t="s">
        <v>71</v>
      </c>
      <c r="H315" s="20" t="s">
        <v>67</v>
      </c>
      <c r="I315" s="21" t="s">
        <v>32</v>
      </c>
      <c r="J315" s="22" t="s">
        <v>33</v>
      </c>
      <c r="K315" s="23">
        <f>L315/1.22*1</f>
        <v>535.24590163934431</v>
      </c>
      <c r="L315" s="24">
        <v>653</v>
      </c>
      <c r="M315" s="25">
        <v>400.69</v>
      </c>
      <c r="N315" s="25">
        <f t="shared" si="4"/>
        <v>488.84179999999998</v>
      </c>
    </row>
    <row r="316" spans="2:14" ht="43.5" customHeight="1" x14ac:dyDescent="0.35">
      <c r="B316" s="20" t="s">
        <v>25</v>
      </c>
      <c r="C316" s="20" t="s">
        <v>26</v>
      </c>
      <c r="D316" s="20" t="s">
        <v>93</v>
      </c>
      <c r="E316" s="20" t="s">
        <v>94</v>
      </c>
      <c r="F316" s="20" t="s">
        <v>95</v>
      </c>
      <c r="G316" s="20" t="s">
        <v>96</v>
      </c>
      <c r="H316" s="20" t="s">
        <v>67</v>
      </c>
      <c r="I316" s="21" t="s">
        <v>32</v>
      </c>
      <c r="J316" s="22" t="s">
        <v>33</v>
      </c>
      <c r="K316" s="23">
        <f>L316/1.22*1</f>
        <v>535.24590163934431</v>
      </c>
      <c r="L316" s="24">
        <v>653</v>
      </c>
      <c r="M316" s="25">
        <v>367.09</v>
      </c>
      <c r="N316" s="25">
        <f t="shared" si="4"/>
        <v>447.84979999999996</v>
      </c>
    </row>
    <row r="317" spans="2:14" ht="43.5" customHeight="1" x14ac:dyDescent="0.35">
      <c r="B317" s="20" t="s">
        <v>25</v>
      </c>
      <c r="C317" s="20" t="s">
        <v>26</v>
      </c>
      <c r="D317" s="20" t="s">
        <v>97</v>
      </c>
      <c r="E317" s="20" t="s">
        <v>98</v>
      </c>
      <c r="F317" s="20" t="s">
        <v>99</v>
      </c>
      <c r="G317" s="20" t="s">
        <v>71</v>
      </c>
      <c r="H317" s="20" t="s">
        <v>67</v>
      </c>
      <c r="I317" s="21" t="s">
        <v>32</v>
      </c>
      <c r="J317" s="22" t="s">
        <v>33</v>
      </c>
      <c r="K317" s="23">
        <f>L317/1.22*1</f>
        <v>524.59016393442619</v>
      </c>
      <c r="L317" s="24">
        <v>640</v>
      </c>
      <c r="M317" s="25">
        <v>351.51</v>
      </c>
      <c r="N317" s="25">
        <f t="shared" si="4"/>
        <v>428.84219999999999</v>
      </c>
    </row>
    <row r="318" spans="2:14" ht="43.5" customHeight="1" x14ac:dyDescent="0.35">
      <c r="B318" s="20" t="s">
        <v>25</v>
      </c>
      <c r="C318" s="20" t="s">
        <v>26</v>
      </c>
      <c r="D318" s="20" t="s">
        <v>100</v>
      </c>
      <c r="E318" s="20" t="s">
        <v>101</v>
      </c>
      <c r="F318" s="20" t="s">
        <v>102</v>
      </c>
      <c r="G318" s="20" t="s">
        <v>103</v>
      </c>
      <c r="H318" s="20" t="s">
        <v>67</v>
      </c>
      <c r="I318" s="21" t="s">
        <v>32</v>
      </c>
      <c r="J318" s="22" t="s">
        <v>33</v>
      </c>
      <c r="K318" s="23">
        <f>L318/1.22*1</f>
        <v>503.27868852459017</v>
      </c>
      <c r="L318" s="24">
        <v>614</v>
      </c>
      <c r="M318" s="25">
        <v>339.22</v>
      </c>
      <c r="N318" s="25">
        <f t="shared" si="4"/>
        <v>413.84840000000003</v>
      </c>
    </row>
    <row r="319" spans="2:14" ht="43.5" customHeight="1" x14ac:dyDescent="0.35">
      <c r="B319" s="20" t="s">
        <v>25</v>
      </c>
      <c r="C319" s="20" t="s">
        <v>26</v>
      </c>
      <c r="D319" s="20" t="s">
        <v>104</v>
      </c>
      <c r="E319" s="20" t="s">
        <v>105</v>
      </c>
      <c r="F319" s="20" t="s">
        <v>106</v>
      </c>
      <c r="G319" s="20" t="s">
        <v>107</v>
      </c>
      <c r="H319" s="20" t="s">
        <v>108</v>
      </c>
      <c r="I319" s="21" t="s">
        <v>32</v>
      </c>
      <c r="J319" s="22" t="s">
        <v>33</v>
      </c>
      <c r="K319" s="23">
        <f>L319/1.22*1</f>
        <v>546.72131147540983</v>
      </c>
      <c r="L319" s="24">
        <v>667</v>
      </c>
      <c r="M319" s="25">
        <v>392.5</v>
      </c>
      <c r="N319" s="25">
        <f t="shared" si="4"/>
        <v>478.84999999999997</v>
      </c>
    </row>
    <row r="320" spans="2:14" ht="43.5" customHeight="1" x14ac:dyDescent="0.35">
      <c r="B320" s="20" t="s">
        <v>25</v>
      </c>
      <c r="C320" s="20" t="s">
        <v>26</v>
      </c>
      <c r="D320" s="20" t="s">
        <v>109</v>
      </c>
      <c r="E320" s="20" t="s">
        <v>110</v>
      </c>
      <c r="F320" s="20" t="s">
        <v>111</v>
      </c>
      <c r="G320" s="20" t="s">
        <v>107</v>
      </c>
      <c r="H320" s="20" t="s">
        <v>108</v>
      </c>
      <c r="I320" s="21" t="s">
        <v>32</v>
      </c>
      <c r="J320" s="22" t="s">
        <v>33</v>
      </c>
      <c r="K320" s="23">
        <f>L320/1.22*1</f>
        <v>561.47540983606564</v>
      </c>
      <c r="L320" s="24">
        <v>685</v>
      </c>
      <c r="M320" s="25">
        <v>367.09</v>
      </c>
      <c r="N320" s="25">
        <f t="shared" si="4"/>
        <v>447.84979999999996</v>
      </c>
    </row>
    <row r="321" spans="2:14" ht="43.5" customHeight="1" x14ac:dyDescent="0.35">
      <c r="B321" s="20" t="s">
        <v>25</v>
      </c>
      <c r="C321" s="20" t="s">
        <v>26</v>
      </c>
      <c r="D321" s="20" t="s">
        <v>112</v>
      </c>
      <c r="E321" s="20" t="s">
        <v>113</v>
      </c>
      <c r="F321" s="20" t="s">
        <v>114</v>
      </c>
      <c r="G321" s="20" t="s">
        <v>115</v>
      </c>
      <c r="H321" s="20" t="s">
        <v>108</v>
      </c>
      <c r="I321" s="21" t="s">
        <v>32</v>
      </c>
      <c r="J321" s="22" t="s">
        <v>33</v>
      </c>
      <c r="K321" s="23">
        <f>L321/1.22*1</f>
        <v>571.31147540983613</v>
      </c>
      <c r="L321" s="24">
        <v>697</v>
      </c>
      <c r="M321" s="25">
        <v>453.15</v>
      </c>
      <c r="N321" s="25">
        <f t="shared" si="4"/>
        <v>552.84299999999996</v>
      </c>
    </row>
    <row r="322" spans="2:14" ht="43.5" customHeight="1" x14ac:dyDescent="0.35">
      <c r="B322" s="20" t="s">
        <v>25</v>
      </c>
      <c r="C322" s="20" t="s">
        <v>26</v>
      </c>
      <c r="D322" s="20" t="s">
        <v>116</v>
      </c>
      <c r="E322" s="20" t="s">
        <v>117</v>
      </c>
      <c r="F322" s="20" t="s">
        <v>118</v>
      </c>
      <c r="G322" s="20" t="s">
        <v>119</v>
      </c>
      <c r="H322" s="20" t="s">
        <v>108</v>
      </c>
      <c r="I322" s="21" t="s">
        <v>32</v>
      </c>
      <c r="J322" s="22" t="s">
        <v>33</v>
      </c>
      <c r="K322" s="23">
        <f>L322/1.22*1</f>
        <v>501.63934426229508</v>
      </c>
      <c r="L322" s="24">
        <v>612</v>
      </c>
      <c r="M322" s="25">
        <v>458.89</v>
      </c>
      <c r="N322" s="25">
        <f t="shared" si="4"/>
        <v>559.84579999999994</v>
      </c>
    </row>
    <row r="323" spans="2:14" ht="43.5" customHeight="1" x14ac:dyDescent="0.35">
      <c r="B323" s="20" t="s">
        <v>25</v>
      </c>
      <c r="C323" s="20" t="s">
        <v>26</v>
      </c>
      <c r="D323" s="20" t="s">
        <v>120</v>
      </c>
      <c r="E323" s="20" t="s">
        <v>121</v>
      </c>
      <c r="F323" s="20" t="s">
        <v>122</v>
      </c>
      <c r="G323" s="20" t="s">
        <v>123</v>
      </c>
      <c r="H323" s="20" t="s">
        <v>108</v>
      </c>
      <c r="I323" s="21" t="s">
        <v>32</v>
      </c>
      <c r="J323" s="22" t="s">
        <v>33</v>
      </c>
      <c r="K323" s="23">
        <f>L323/1.22*1</f>
        <v>524.59016393442619</v>
      </c>
      <c r="L323" s="24">
        <v>640</v>
      </c>
      <c r="M323" s="25">
        <v>410.53</v>
      </c>
      <c r="N323" s="25">
        <f t="shared" si="4"/>
        <v>500.84659999999997</v>
      </c>
    </row>
    <row r="324" spans="2:14" ht="43.5" customHeight="1" x14ac:dyDescent="0.35">
      <c r="B324" s="20" t="s">
        <v>25</v>
      </c>
      <c r="C324" s="20" t="s">
        <v>26</v>
      </c>
      <c r="D324" s="20" t="s">
        <v>124</v>
      </c>
      <c r="E324" s="20" t="s">
        <v>125</v>
      </c>
      <c r="F324" s="20" t="s">
        <v>126</v>
      </c>
      <c r="G324" s="20" t="s">
        <v>119</v>
      </c>
      <c r="H324" s="20" t="s">
        <v>108</v>
      </c>
      <c r="I324" s="21" t="s">
        <v>32</v>
      </c>
      <c r="J324" s="22" t="s">
        <v>33</v>
      </c>
      <c r="K324" s="23">
        <f>L324/1.22*1</f>
        <v>542.62295081967216</v>
      </c>
      <c r="L324" s="24">
        <v>662</v>
      </c>
      <c r="M324" s="25">
        <v>392.5</v>
      </c>
      <c r="N324" s="25">
        <f t="shared" si="4"/>
        <v>478.84999999999997</v>
      </c>
    </row>
    <row r="325" spans="2:14" ht="43.5" customHeight="1" x14ac:dyDescent="0.35">
      <c r="B325" s="20" t="s">
        <v>25</v>
      </c>
      <c r="C325" s="20" t="s">
        <v>26</v>
      </c>
      <c r="D325" s="20" t="s">
        <v>127</v>
      </c>
      <c r="E325" s="20" t="s">
        <v>128</v>
      </c>
      <c r="F325" s="20" t="s">
        <v>129</v>
      </c>
      <c r="G325" s="20" t="s">
        <v>130</v>
      </c>
      <c r="H325" s="20" t="s">
        <v>131</v>
      </c>
      <c r="I325" s="21" t="s">
        <v>32</v>
      </c>
      <c r="J325" s="22" t="s">
        <v>33</v>
      </c>
      <c r="K325" s="23">
        <f>L325/1.22*1</f>
        <v>435.24590163934425</v>
      </c>
      <c r="L325" s="24">
        <v>531</v>
      </c>
      <c r="M325" s="25">
        <v>367.09</v>
      </c>
      <c r="N325" s="25">
        <f t="shared" si="4"/>
        <v>447.84979999999996</v>
      </c>
    </row>
    <row r="326" spans="2:14" ht="43.5" customHeight="1" x14ac:dyDescent="0.35">
      <c r="B326" s="20" t="s">
        <v>25</v>
      </c>
      <c r="C326" s="20" t="s">
        <v>26</v>
      </c>
      <c r="D326" s="20" t="s">
        <v>132</v>
      </c>
      <c r="E326" s="20" t="s">
        <v>133</v>
      </c>
      <c r="F326" s="20" t="s">
        <v>134</v>
      </c>
      <c r="G326" s="20" t="s">
        <v>135</v>
      </c>
      <c r="H326" s="20" t="s">
        <v>131</v>
      </c>
      <c r="I326" s="21" t="s">
        <v>32</v>
      </c>
      <c r="J326" s="22" t="s">
        <v>33</v>
      </c>
      <c r="K326" s="23">
        <f>L326/1.22*1</f>
        <v>408.19672131147541</v>
      </c>
      <c r="L326" s="24">
        <v>498</v>
      </c>
      <c r="M326" s="25">
        <v>457.25</v>
      </c>
      <c r="N326" s="25">
        <f t="shared" si="4"/>
        <v>557.84500000000003</v>
      </c>
    </row>
    <row r="327" spans="2:14" ht="43.5" customHeight="1" x14ac:dyDescent="0.35">
      <c r="B327" s="20" t="s">
        <v>25</v>
      </c>
      <c r="C327" s="20" t="s">
        <v>26</v>
      </c>
      <c r="D327" s="20" t="s">
        <v>136</v>
      </c>
      <c r="E327" s="20" t="s">
        <v>137</v>
      </c>
      <c r="F327" s="20" t="s">
        <v>138</v>
      </c>
      <c r="G327" s="20" t="s">
        <v>135</v>
      </c>
      <c r="H327" s="20" t="s">
        <v>131</v>
      </c>
      <c r="I327" s="21" t="s">
        <v>32</v>
      </c>
      <c r="J327" s="22" t="s">
        <v>33</v>
      </c>
      <c r="K327" s="23">
        <f>L327/1.22*1</f>
        <v>397.5409836065574</v>
      </c>
      <c r="L327" s="24">
        <v>485</v>
      </c>
      <c r="M327" s="25">
        <v>335.94</v>
      </c>
      <c r="N327" s="25">
        <f t="shared" si="4"/>
        <v>409.84679999999997</v>
      </c>
    </row>
    <row r="328" spans="2:14" ht="43.5" customHeight="1" x14ac:dyDescent="0.35">
      <c r="B328" s="20" t="s">
        <v>25</v>
      </c>
      <c r="C328" s="20" t="s">
        <v>26</v>
      </c>
      <c r="D328" s="20" t="s">
        <v>139</v>
      </c>
      <c r="E328" s="20" t="s">
        <v>140</v>
      </c>
      <c r="F328" s="20" t="s">
        <v>141</v>
      </c>
      <c r="G328" s="20" t="s">
        <v>142</v>
      </c>
      <c r="H328" s="20" t="s">
        <v>131</v>
      </c>
      <c r="I328" s="21" t="s">
        <v>32</v>
      </c>
      <c r="J328" s="22" t="s">
        <v>33</v>
      </c>
      <c r="K328" s="23">
        <f>L328/1.22*1</f>
        <v>456.55737704918033</v>
      </c>
      <c r="L328" s="24">
        <v>557</v>
      </c>
      <c r="M328" s="25">
        <v>340.86</v>
      </c>
      <c r="N328" s="25">
        <f t="shared" si="4"/>
        <v>415.8492</v>
      </c>
    </row>
    <row r="329" spans="2:14" ht="43.5" customHeight="1" x14ac:dyDescent="0.35">
      <c r="B329" s="20" t="s">
        <v>25</v>
      </c>
      <c r="C329" s="20" t="s">
        <v>26</v>
      </c>
      <c r="D329" s="20" t="s">
        <v>143</v>
      </c>
      <c r="E329" s="20" t="s">
        <v>144</v>
      </c>
      <c r="F329" s="20" t="s">
        <v>145</v>
      </c>
      <c r="G329" s="20" t="s">
        <v>146</v>
      </c>
      <c r="H329" s="20" t="s">
        <v>131</v>
      </c>
      <c r="I329" s="21" t="s">
        <v>32</v>
      </c>
      <c r="J329" s="22" t="s">
        <v>33</v>
      </c>
      <c r="K329" s="23">
        <f>L329/1.22*1</f>
        <v>630.32786885245901</v>
      </c>
      <c r="L329" s="24">
        <v>769</v>
      </c>
      <c r="M329" s="25">
        <v>345.77</v>
      </c>
      <c r="N329" s="25">
        <f t="shared" si="4"/>
        <v>421.83939999999996</v>
      </c>
    </row>
    <row r="330" spans="2:14" ht="43.5" customHeight="1" x14ac:dyDescent="0.35">
      <c r="B330" s="20" t="s">
        <v>25</v>
      </c>
      <c r="C330" s="20" t="s">
        <v>26</v>
      </c>
      <c r="D330" s="20" t="s">
        <v>147</v>
      </c>
      <c r="E330" s="20" t="s">
        <v>148</v>
      </c>
      <c r="F330" s="20" t="s">
        <v>149</v>
      </c>
      <c r="G330" s="20" t="s">
        <v>150</v>
      </c>
      <c r="H330" s="20" t="s">
        <v>131</v>
      </c>
      <c r="I330" s="21" t="s">
        <v>32</v>
      </c>
      <c r="J330" s="22" t="s">
        <v>33</v>
      </c>
      <c r="K330" s="23">
        <f>L330/1.22*1</f>
        <v>354.09836065573774</v>
      </c>
      <c r="L330" s="24">
        <v>432</v>
      </c>
      <c r="M330" s="25">
        <v>386.76</v>
      </c>
      <c r="N330" s="25">
        <f t="shared" ref="N330:N393" si="5">M330*1.22</f>
        <v>471.84719999999999</v>
      </c>
    </row>
    <row r="331" spans="2:14" ht="43.5" customHeight="1" x14ac:dyDescent="0.35">
      <c r="B331" s="20" t="s">
        <v>25</v>
      </c>
      <c r="C331" s="20" t="s">
        <v>26</v>
      </c>
      <c r="D331" s="20" t="s">
        <v>151</v>
      </c>
      <c r="E331" s="20" t="s">
        <v>152</v>
      </c>
      <c r="F331" s="20" t="s">
        <v>153</v>
      </c>
      <c r="G331" s="20" t="s">
        <v>154</v>
      </c>
      <c r="H331" s="20" t="s">
        <v>131</v>
      </c>
      <c r="I331" s="21" t="s">
        <v>32</v>
      </c>
      <c r="J331" s="22" t="s">
        <v>33</v>
      </c>
      <c r="K331" s="23">
        <f>L331/1.22*1</f>
        <v>382.78688524590166</v>
      </c>
      <c r="L331" s="26">
        <v>467</v>
      </c>
      <c r="M331" s="25">
        <v>150.69</v>
      </c>
      <c r="N331" s="25">
        <f t="shared" si="5"/>
        <v>183.84180000000001</v>
      </c>
    </row>
    <row r="332" spans="2:14" ht="43.5" customHeight="1" x14ac:dyDescent="0.35">
      <c r="B332" s="20" t="s">
        <v>25</v>
      </c>
      <c r="C332" s="20" t="s">
        <v>26</v>
      </c>
      <c r="D332" s="20" t="s">
        <v>155</v>
      </c>
      <c r="E332" s="20" t="s">
        <v>156</v>
      </c>
      <c r="F332" s="20" t="s">
        <v>157</v>
      </c>
      <c r="G332" s="20" t="s">
        <v>158</v>
      </c>
      <c r="H332" s="20" t="s">
        <v>159</v>
      </c>
      <c r="I332" s="21" t="s">
        <v>32</v>
      </c>
      <c r="J332" s="22" t="s">
        <v>33</v>
      </c>
      <c r="K332" s="23">
        <f>L332/1.22*1</f>
        <v>373.77049180327867</v>
      </c>
      <c r="L332" s="26">
        <v>456</v>
      </c>
      <c r="M332" s="25">
        <v>150.69</v>
      </c>
      <c r="N332" s="25">
        <f t="shared" si="5"/>
        <v>183.84180000000001</v>
      </c>
    </row>
    <row r="333" spans="2:14" ht="43.5" customHeight="1" x14ac:dyDescent="0.35">
      <c r="B333" s="20" t="s">
        <v>25</v>
      </c>
      <c r="C333" s="20" t="s">
        <v>26</v>
      </c>
      <c r="D333" s="20" t="s">
        <v>27</v>
      </c>
      <c r="E333" s="20" t="s">
        <v>160</v>
      </c>
      <c r="F333" s="20" t="s">
        <v>161</v>
      </c>
      <c r="G333" s="20" t="s">
        <v>162</v>
      </c>
      <c r="H333" s="20" t="s">
        <v>31</v>
      </c>
      <c r="I333" s="21" t="s">
        <v>32</v>
      </c>
      <c r="J333" s="22" t="s">
        <v>33</v>
      </c>
      <c r="K333" s="23">
        <f>L333/1.22*1</f>
        <v>593.44262295081967</v>
      </c>
      <c r="L333" s="26">
        <v>724</v>
      </c>
      <c r="M333" s="25">
        <v>258.07</v>
      </c>
      <c r="N333" s="25">
        <f t="shared" si="5"/>
        <v>314.84539999999998</v>
      </c>
    </row>
    <row r="334" spans="2:14" ht="43.5" customHeight="1" x14ac:dyDescent="0.35">
      <c r="B334" s="20" t="s">
        <v>25</v>
      </c>
      <c r="C334" s="20" t="s">
        <v>26</v>
      </c>
      <c r="D334" s="20" t="s">
        <v>34</v>
      </c>
      <c r="E334" s="20" t="s">
        <v>163</v>
      </c>
      <c r="F334" s="20" t="s">
        <v>164</v>
      </c>
      <c r="G334" s="20" t="s">
        <v>165</v>
      </c>
      <c r="H334" s="20" t="s">
        <v>31</v>
      </c>
      <c r="I334" s="21" t="s">
        <v>32</v>
      </c>
      <c r="J334" s="22" t="s">
        <v>33</v>
      </c>
      <c r="K334" s="23">
        <f>L334/1.22*1</f>
        <v>593.44262295081967</v>
      </c>
      <c r="L334" s="26">
        <v>724</v>
      </c>
      <c r="M334" s="25">
        <v>254.79</v>
      </c>
      <c r="N334" s="25">
        <f t="shared" si="5"/>
        <v>310.84379999999999</v>
      </c>
    </row>
    <row r="335" spans="2:14" ht="43.5" customHeight="1" x14ac:dyDescent="0.35">
      <c r="B335" s="20" t="s">
        <v>25</v>
      </c>
      <c r="C335" s="20" t="s">
        <v>26</v>
      </c>
      <c r="D335" s="20" t="s">
        <v>41</v>
      </c>
      <c r="E335" s="20" t="s">
        <v>166</v>
      </c>
      <c r="F335" s="20" t="s">
        <v>167</v>
      </c>
      <c r="G335" s="20" t="s">
        <v>165</v>
      </c>
      <c r="H335" s="20" t="s">
        <v>31</v>
      </c>
      <c r="I335" s="21" t="s">
        <v>32</v>
      </c>
      <c r="J335" s="22" t="s">
        <v>33</v>
      </c>
      <c r="K335" s="23">
        <f>L335/1.22*1</f>
        <v>510.65573770491807</v>
      </c>
      <c r="L335" s="24">
        <v>623</v>
      </c>
      <c r="M335" s="25">
        <v>150.69</v>
      </c>
      <c r="N335" s="25">
        <f t="shared" si="5"/>
        <v>183.84180000000001</v>
      </c>
    </row>
    <row r="336" spans="2:14" ht="43.5" customHeight="1" x14ac:dyDescent="0.35">
      <c r="B336" s="20" t="s">
        <v>25</v>
      </c>
      <c r="C336" s="20" t="s">
        <v>26</v>
      </c>
      <c r="D336" s="20" t="s">
        <v>44</v>
      </c>
      <c r="E336" s="20" t="s">
        <v>168</v>
      </c>
      <c r="F336" s="20" t="s">
        <v>169</v>
      </c>
      <c r="G336" s="20" t="s">
        <v>165</v>
      </c>
      <c r="H336" s="20" t="s">
        <v>31</v>
      </c>
      <c r="I336" s="21" t="s">
        <v>32</v>
      </c>
      <c r="J336" s="22" t="s">
        <v>33</v>
      </c>
      <c r="K336" s="23">
        <f>L336/1.22*1</f>
        <v>571.31147540983613</v>
      </c>
      <c r="L336" s="26">
        <v>697</v>
      </c>
      <c r="M336" s="25">
        <v>150.69</v>
      </c>
      <c r="N336" s="25">
        <f t="shared" si="5"/>
        <v>183.84180000000001</v>
      </c>
    </row>
    <row r="337" spans="2:14" ht="43.5" customHeight="1" x14ac:dyDescent="0.35">
      <c r="B337" s="20" t="s">
        <v>25</v>
      </c>
      <c r="C337" s="20" t="s">
        <v>26</v>
      </c>
      <c r="D337" s="20" t="s">
        <v>60</v>
      </c>
      <c r="E337" s="20" t="s">
        <v>170</v>
      </c>
      <c r="F337" s="20" t="s">
        <v>171</v>
      </c>
      <c r="G337" s="20" t="s">
        <v>165</v>
      </c>
      <c r="H337" s="20" t="s">
        <v>31</v>
      </c>
      <c r="I337" s="21" t="s">
        <v>32</v>
      </c>
      <c r="J337" s="22" t="s">
        <v>33</v>
      </c>
      <c r="K337" s="23">
        <f>L337/1.22*1</f>
        <v>509.01639344262298</v>
      </c>
      <c r="L337" s="26">
        <v>621</v>
      </c>
      <c r="M337" s="25">
        <v>145.77000000000001</v>
      </c>
      <c r="N337" s="25">
        <f t="shared" si="5"/>
        <v>177.83940000000001</v>
      </c>
    </row>
    <row r="338" spans="2:14" ht="43.5" customHeight="1" x14ac:dyDescent="0.35">
      <c r="B338" s="20" t="s">
        <v>25</v>
      </c>
      <c r="C338" s="20" t="s">
        <v>26</v>
      </c>
      <c r="D338" s="20" t="s">
        <v>172</v>
      </c>
      <c r="E338" s="20" t="s">
        <v>173</v>
      </c>
      <c r="F338" s="20" t="s">
        <v>174</v>
      </c>
      <c r="G338" s="20" t="s">
        <v>175</v>
      </c>
      <c r="H338" s="20" t="s">
        <v>176</v>
      </c>
      <c r="I338" s="21" t="s">
        <v>32</v>
      </c>
      <c r="J338" s="22" t="s">
        <v>33</v>
      </c>
      <c r="K338" s="23">
        <f>L338/1.22*1</f>
        <v>456.55737704918033</v>
      </c>
      <c r="L338" s="26">
        <v>557</v>
      </c>
      <c r="M338" s="25">
        <v>327.74</v>
      </c>
      <c r="N338" s="25">
        <f t="shared" si="5"/>
        <v>399.84280000000001</v>
      </c>
    </row>
    <row r="339" spans="2:14" ht="43.5" customHeight="1" x14ac:dyDescent="0.35">
      <c r="B339" s="20" t="s">
        <v>25</v>
      </c>
      <c r="C339" s="20" t="s">
        <v>26</v>
      </c>
      <c r="D339" s="20" t="s">
        <v>177</v>
      </c>
      <c r="E339" s="20" t="s">
        <v>178</v>
      </c>
      <c r="F339" s="20" t="s">
        <v>179</v>
      </c>
      <c r="G339" s="20" t="s">
        <v>175</v>
      </c>
      <c r="H339" s="20" t="s">
        <v>176</v>
      </c>
      <c r="I339" s="21" t="s">
        <v>32</v>
      </c>
      <c r="J339" s="22" t="s">
        <v>33</v>
      </c>
      <c r="K339" s="23">
        <f>L339/1.22*1</f>
        <v>463.93442622950823</v>
      </c>
      <c r="L339" s="26">
        <v>566</v>
      </c>
      <c r="M339" s="25">
        <v>145.77000000000001</v>
      </c>
      <c r="N339" s="25">
        <f t="shared" si="5"/>
        <v>177.83940000000001</v>
      </c>
    </row>
    <row r="340" spans="2:14" ht="43.5" customHeight="1" x14ac:dyDescent="0.35">
      <c r="B340" s="20" t="s">
        <v>25</v>
      </c>
      <c r="C340" s="20" t="s">
        <v>26</v>
      </c>
      <c r="D340" s="20" t="s">
        <v>180</v>
      </c>
      <c r="E340" s="20" t="s">
        <v>181</v>
      </c>
      <c r="F340" s="20" t="s">
        <v>182</v>
      </c>
      <c r="G340" s="20" t="s">
        <v>175</v>
      </c>
      <c r="H340" s="20" t="s">
        <v>176</v>
      </c>
      <c r="I340" s="21" t="s">
        <v>32</v>
      </c>
      <c r="J340" s="22" t="s">
        <v>33</v>
      </c>
      <c r="K340" s="23">
        <f>L340/1.22*1</f>
        <v>478.68852459016392</v>
      </c>
      <c r="L340" s="26">
        <v>584</v>
      </c>
      <c r="M340" s="25">
        <v>145.77000000000001</v>
      </c>
      <c r="N340" s="25">
        <f t="shared" si="5"/>
        <v>177.83940000000001</v>
      </c>
    </row>
    <row r="341" spans="2:14" ht="43.5" customHeight="1" x14ac:dyDescent="0.35">
      <c r="B341" s="20" t="s">
        <v>25</v>
      </c>
      <c r="C341" s="20" t="s">
        <v>26</v>
      </c>
      <c r="D341" s="20" t="s">
        <v>183</v>
      </c>
      <c r="E341" s="20" t="s">
        <v>184</v>
      </c>
      <c r="F341" s="20" t="s">
        <v>185</v>
      </c>
      <c r="G341" s="20" t="s">
        <v>175</v>
      </c>
      <c r="H341" s="20" t="s">
        <v>176</v>
      </c>
      <c r="I341" s="21" t="s">
        <v>32</v>
      </c>
      <c r="J341" s="22" t="s">
        <v>33</v>
      </c>
      <c r="K341" s="23">
        <f>L341/1.22*1</f>
        <v>510.65573770491807</v>
      </c>
      <c r="L341" s="26">
        <v>623</v>
      </c>
      <c r="M341" s="25">
        <v>145.77000000000001</v>
      </c>
      <c r="N341" s="25">
        <f t="shared" si="5"/>
        <v>177.83940000000001</v>
      </c>
    </row>
    <row r="342" spans="2:14" ht="43.5" customHeight="1" x14ac:dyDescent="0.35">
      <c r="B342" s="20" t="s">
        <v>25</v>
      </c>
      <c r="C342" s="20" t="s">
        <v>26</v>
      </c>
      <c r="D342" s="20" t="s">
        <v>186</v>
      </c>
      <c r="E342" s="20" t="s">
        <v>187</v>
      </c>
      <c r="F342" s="20" t="s">
        <v>188</v>
      </c>
      <c r="G342" s="20" t="s">
        <v>175</v>
      </c>
      <c r="H342" s="20" t="s">
        <v>176</v>
      </c>
      <c r="I342" s="21" t="s">
        <v>32</v>
      </c>
      <c r="J342" s="22" t="s">
        <v>33</v>
      </c>
      <c r="K342" s="23">
        <f>L342/1.22*1</f>
        <v>454.09836065573774</v>
      </c>
      <c r="L342" s="26">
        <v>554</v>
      </c>
      <c r="M342" s="25">
        <v>258.89</v>
      </c>
      <c r="N342" s="25">
        <f t="shared" si="5"/>
        <v>315.8458</v>
      </c>
    </row>
    <row r="343" spans="2:14" ht="43.5" customHeight="1" x14ac:dyDescent="0.35">
      <c r="B343" s="20" t="s">
        <v>25</v>
      </c>
      <c r="C343" s="20" t="s">
        <v>26</v>
      </c>
      <c r="D343" s="20" t="s">
        <v>189</v>
      </c>
      <c r="E343" s="20" t="s">
        <v>190</v>
      </c>
      <c r="F343" s="20" t="s">
        <v>191</v>
      </c>
      <c r="G343" s="20" t="s">
        <v>175</v>
      </c>
      <c r="H343" s="20" t="s">
        <v>176</v>
      </c>
      <c r="I343" s="21" t="s">
        <v>32</v>
      </c>
      <c r="J343" s="22" t="s">
        <v>33</v>
      </c>
      <c r="K343" s="23">
        <f>L343/1.22*1</f>
        <v>367.21311475409834</v>
      </c>
      <c r="L343" s="26">
        <v>448</v>
      </c>
      <c r="M343" s="25">
        <v>263.81</v>
      </c>
      <c r="N343" s="25">
        <f t="shared" si="5"/>
        <v>321.84820000000002</v>
      </c>
    </row>
    <row r="344" spans="2:14" ht="43.5" customHeight="1" x14ac:dyDescent="0.35">
      <c r="B344" s="20" t="s">
        <v>25</v>
      </c>
      <c r="C344" s="20" t="s">
        <v>26</v>
      </c>
      <c r="D344" s="20" t="s">
        <v>192</v>
      </c>
      <c r="E344" s="20" t="s">
        <v>193</v>
      </c>
      <c r="F344" s="20" t="s">
        <v>194</v>
      </c>
      <c r="G344" s="20" t="s">
        <v>175</v>
      </c>
      <c r="H344" s="20" t="s">
        <v>176</v>
      </c>
      <c r="I344" s="21" t="s">
        <v>32</v>
      </c>
      <c r="J344" s="22" t="s">
        <v>33</v>
      </c>
      <c r="K344" s="23">
        <f>L344/1.22*1</f>
        <v>491.80327868852459</v>
      </c>
      <c r="L344" s="26">
        <v>600</v>
      </c>
      <c r="M344" s="25">
        <v>145.77000000000001</v>
      </c>
      <c r="N344" s="25">
        <f t="shared" si="5"/>
        <v>177.83940000000001</v>
      </c>
    </row>
    <row r="345" spans="2:14" ht="43.5" customHeight="1" x14ac:dyDescent="0.35">
      <c r="B345" s="20" t="s">
        <v>25</v>
      </c>
      <c r="C345" s="20" t="s">
        <v>26</v>
      </c>
      <c r="D345" s="20" t="s">
        <v>56</v>
      </c>
      <c r="E345" s="20" t="s">
        <v>195</v>
      </c>
      <c r="F345" s="20" t="s">
        <v>196</v>
      </c>
      <c r="G345" s="20" t="s">
        <v>165</v>
      </c>
      <c r="H345" s="20" t="s">
        <v>31</v>
      </c>
      <c r="I345" s="21" t="s">
        <v>32</v>
      </c>
      <c r="J345" s="22" t="s">
        <v>33</v>
      </c>
      <c r="K345" s="23">
        <f>L345/1.22*1</f>
        <v>478.68852459016392</v>
      </c>
      <c r="L345" s="26">
        <v>584</v>
      </c>
      <c r="M345" s="25">
        <v>218.72</v>
      </c>
      <c r="N345" s="25">
        <f t="shared" si="5"/>
        <v>266.83839999999998</v>
      </c>
    </row>
    <row r="346" spans="2:14" ht="43.5" customHeight="1" x14ac:dyDescent="0.35">
      <c r="B346" s="20" t="s">
        <v>25</v>
      </c>
      <c r="C346" s="20" t="s">
        <v>197</v>
      </c>
      <c r="D346" s="20" t="s">
        <v>78</v>
      </c>
      <c r="E346" s="20" t="s">
        <v>198</v>
      </c>
      <c r="F346" s="20" t="s">
        <v>199</v>
      </c>
      <c r="G346" s="20" t="s">
        <v>200</v>
      </c>
      <c r="H346" s="20" t="s">
        <v>201</v>
      </c>
      <c r="I346" s="21" t="s">
        <v>32</v>
      </c>
      <c r="J346" s="22" t="s">
        <v>33</v>
      </c>
      <c r="K346" s="23">
        <f>L346/1.22*1</f>
        <v>509.8360655737705</v>
      </c>
      <c r="L346" s="26">
        <v>622</v>
      </c>
      <c r="M346" s="25">
        <v>289.22000000000003</v>
      </c>
      <c r="N346" s="25">
        <f t="shared" si="5"/>
        <v>352.84840000000003</v>
      </c>
    </row>
    <row r="347" spans="2:14" ht="43.5" customHeight="1" x14ac:dyDescent="0.35">
      <c r="B347" s="20" t="s">
        <v>25</v>
      </c>
      <c r="C347" s="20" t="s">
        <v>197</v>
      </c>
      <c r="D347" s="20" t="s">
        <v>202</v>
      </c>
      <c r="E347" s="20" t="s">
        <v>203</v>
      </c>
      <c r="F347" s="20" t="s">
        <v>204</v>
      </c>
      <c r="G347" s="20" t="s">
        <v>200</v>
      </c>
      <c r="H347" s="20" t="s">
        <v>201</v>
      </c>
      <c r="I347" s="21" t="s">
        <v>32</v>
      </c>
      <c r="J347" s="22" t="s">
        <v>33</v>
      </c>
      <c r="K347" s="23">
        <f>L347/1.22*1</f>
        <v>560.65573770491801</v>
      </c>
      <c r="L347" s="26">
        <v>684</v>
      </c>
      <c r="M347" s="25">
        <v>289.22000000000003</v>
      </c>
      <c r="N347" s="25">
        <f t="shared" si="5"/>
        <v>352.84840000000003</v>
      </c>
    </row>
    <row r="348" spans="2:14" ht="43.5" customHeight="1" x14ac:dyDescent="0.35">
      <c r="B348" s="20" t="s">
        <v>25</v>
      </c>
      <c r="C348" s="20" t="s">
        <v>197</v>
      </c>
      <c r="D348" s="20" t="s">
        <v>75</v>
      </c>
      <c r="E348" s="20" t="s">
        <v>205</v>
      </c>
      <c r="F348" s="20" t="s">
        <v>206</v>
      </c>
      <c r="G348" s="20" t="s">
        <v>200</v>
      </c>
      <c r="H348" s="20" t="s">
        <v>201</v>
      </c>
      <c r="I348" s="21" t="s">
        <v>32</v>
      </c>
      <c r="J348" s="22" t="s">
        <v>33</v>
      </c>
      <c r="K348" s="23">
        <f>L348/1.22*1</f>
        <v>461.47540983606558</v>
      </c>
      <c r="L348" s="26">
        <v>563</v>
      </c>
      <c r="M348" s="25">
        <v>250.69</v>
      </c>
      <c r="N348" s="25">
        <f t="shared" si="5"/>
        <v>305.84179999999998</v>
      </c>
    </row>
    <row r="349" spans="2:14" ht="43.5" customHeight="1" x14ac:dyDescent="0.35">
      <c r="B349" s="20" t="s">
        <v>25</v>
      </c>
      <c r="C349" s="20" t="s">
        <v>197</v>
      </c>
      <c r="D349" s="20" t="s">
        <v>63</v>
      </c>
      <c r="E349" s="20" t="s">
        <v>207</v>
      </c>
      <c r="F349" s="20" t="s">
        <v>208</v>
      </c>
      <c r="G349" s="20" t="s">
        <v>200</v>
      </c>
      <c r="H349" s="20" t="s">
        <v>201</v>
      </c>
      <c r="I349" s="21" t="s">
        <v>32</v>
      </c>
      <c r="J349" s="22" t="s">
        <v>33</v>
      </c>
      <c r="K349" s="23">
        <f>L349/1.22*1</f>
        <v>465.57377049180332</v>
      </c>
      <c r="L349" s="26">
        <v>568</v>
      </c>
      <c r="M349" s="25">
        <v>137.58000000000001</v>
      </c>
      <c r="N349" s="25">
        <f t="shared" si="5"/>
        <v>167.8476</v>
      </c>
    </row>
    <row r="350" spans="2:14" ht="43.5" customHeight="1" x14ac:dyDescent="0.35">
      <c r="B350" s="20" t="s">
        <v>25</v>
      </c>
      <c r="C350" s="20" t="s">
        <v>197</v>
      </c>
      <c r="D350" s="20" t="s">
        <v>209</v>
      </c>
      <c r="E350" s="20" t="s">
        <v>210</v>
      </c>
      <c r="F350" s="20" t="s">
        <v>211</v>
      </c>
      <c r="G350" s="20" t="s">
        <v>212</v>
      </c>
      <c r="H350" s="20" t="s">
        <v>201</v>
      </c>
      <c r="I350" s="21" t="s">
        <v>32</v>
      </c>
      <c r="J350" s="22" t="s">
        <v>33</v>
      </c>
      <c r="K350" s="23">
        <f>L350/1.22*1</f>
        <v>498.36065573770492</v>
      </c>
      <c r="L350" s="26">
        <v>608</v>
      </c>
      <c r="M350" s="25">
        <v>147.41</v>
      </c>
      <c r="N350" s="25">
        <f t="shared" si="5"/>
        <v>179.84019999999998</v>
      </c>
    </row>
    <row r="351" spans="2:14" ht="43.5" customHeight="1" x14ac:dyDescent="0.35">
      <c r="B351" s="20" t="s">
        <v>25</v>
      </c>
      <c r="C351" s="20" t="s">
        <v>197</v>
      </c>
      <c r="D351" s="20" t="s">
        <v>213</v>
      </c>
      <c r="E351" s="20" t="s">
        <v>214</v>
      </c>
      <c r="F351" s="20" t="s">
        <v>215</v>
      </c>
      <c r="G351" s="20" t="s">
        <v>216</v>
      </c>
      <c r="H351" s="20" t="s">
        <v>217</v>
      </c>
      <c r="I351" s="21" t="s">
        <v>32</v>
      </c>
      <c r="J351" s="22" t="s">
        <v>33</v>
      </c>
      <c r="K351" s="23">
        <f>L351/1.22*1</f>
        <v>601.63934426229514</v>
      </c>
      <c r="L351" s="26">
        <v>734</v>
      </c>
      <c r="M351" s="25">
        <v>136.76</v>
      </c>
      <c r="N351" s="25">
        <f t="shared" si="5"/>
        <v>166.84719999999999</v>
      </c>
    </row>
    <row r="352" spans="2:14" ht="43.5" customHeight="1" x14ac:dyDescent="0.35">
      <c r="B352" s="20" t="s">
        <v>25</v>
      </c>
      <c r="C352" s="20" t="s">
        <v>197</v>
      </c>
      <c r="D352" s="20" t="s">
        <v>218</v>
      </c>
      <c r="E352" s="20" t="s">
        <v>219</v>
      </c>
      <c r="F352" s="20" t="s">
        <v>220</v>
      </c>
      <c r="G352" s="20" t="s">
        <v>221</v>
      </c>
      <c r="H352" s="20" t="s">
        <v>222</v>
      </c>
      <c r="I352" s="21" t="s">
        <v>32</v>
      </c>
      <c r="J352" s="22" t="s">
        <v>33</v>
      </c>
      <c r="K352" s="23">
        <f>L352/1.22*1</f>
        <v>582.78688524590166</v>
      </c>
      <c r="L352" s="26">
        <v>711</v>
      </c>
      <c r="M352" s="25">
        <v>136.76</v>
      </c>
      <c r="N352" s="25">
        <f t="shared" si="5"/>
        <v>166.84719999999999</v>
      </c>
    </row>
    <row r="353" spans="2:14" ht="43.5" customHeight="1" x14ac:dyDescent="0.35">
      <c r="B353" s="20" t="s">
        <v>25</v>
      </c>
      <c r="C353" s="20" t="s">
        <v>197</v>
      </c>
      <c r="D353" s="20" t="s">
        <v>151</v>
      </c>
      <c r="E353" s="20" t="s">
        <v>223</v>
      </c>
      <c r="F353" s="20" t="s">
        <v>224</v>
      </c>
      <c r="G353" s="20" t="s">
        <v>225</v>
      </c>
      <c r="H353" s="20" t="s">
        <v>226</v>
      </c>
      <c r="I353" s="21" t="s">
        <v>32</v>
      </c>
      <c r="J353" s="22" t="s">
        <v>33</v>
      </c>
      <c r="K353" s="23">
        <f>L353/1.22*1</f>
        <v>548.36065573770497</v>
      </c>
      <c r="L353" s="26">
        <v>669</v>
      </c>
      <c r="M353" s="25">
        <v>136.76</v>
      </c>
      <c r="N353" s="25">
        <f t="shared" si="5"/>
        <v>166.84719999999999</v>
      </c>
    </row>
    <row r="354" spans="2:14" ht="43.5" customHeight="1" x14ac:dyDescent="0.35">
      <c r="B354" s="20" t="s">
        <v>25</v>
      </c>
      <c r="C354" s="20" t="s">
        <v>197</v>
      </c>
      <c r="D354" s="20" t="s">
        <v>227</v>
      </c>
      <c r="E354" s="20" t="s">
        <v>228</v>
      </c>
      <c r="F354" s="20" t="s">
        <v>229</v>
      </c>
      <c r="G354" s="20" t="s">
        <v>230</v>
      </c>
      <c r="H354" s="20" t="s">
        <v>217</v>
      </c>
      <c r="I354" s="21" t="s">
        <v>32</v>
      </c>
      <c r="J354" s="22" t="s">
        <v>33</v>
      </c>
      <c r="K354" s="23">
        <f>L354/1.22*1</f>
        <v>700</v>
      </c>
      <c r="L354" s="26">
        <v>854</v>
      </c>
      <c r="M354" s="25">
        <v>355.61</v>
      </c>
      <c r="N354" s="25">
        <f t="shared" si="5"/>
        <v>433.8442</v>
      </c>
    </row>
    <row r="355" spans="2:14" ht="43.5" customHeight="1" x14ac:dyDescent="0.35">
      <c r="B355" s="20" t="s">
        <v>25</v>
      </c>
      <c r="C355" s="20" t="s">
        <v>197</v>
      </c>
      <c r="D355" s="20" t="s">
        <v>231</v>
      </c>
      <c r="E355" s="20" t="s">
        <v>232</v>
      </c>
      <c r="F355" s="20" t="s">
        <v>233</v>
      </c>
      <c r="G355" s="20" t="s">
        <v>225</v>
      </c>
      <c r="H355" s="20" t="s">
        <v>234</v>
      </c>
      <c r="I355" s="21" t="s">
        <v>32</v>
      </c>
      <c r="J355" s="22" t="s">
        <v>33</v>
      </c>
      <c r="K355" s="23">
        <f>L355/1.22*1</f>
        <v>419.67213114754099</v>
      </c>
      <c r="L355" s="26">
        <v>512</v>
      </c>
      <c r="M355" s="25">
        <v>135.12</v>
      </c>
      <c r="N355" s="25">
        <f t="shared" si="5"/>
        <v>164.84639999999999</v>
      </c>
    </row>
    <row r="356" spans="2:14" ht="43.5" customHeight="1" x14ac:dyDescent="0.35">
      <c r="B356" s="20" t="s">
        <v>25</v>
      </c>
      <c r="C356" s="20" t="s">
        <v>197</v>
      </c>
      <c r="D356" s="20" t="s">
        <v>235</v>
      </c>
      <c r="E356" s="20" t="s">
        <v>236</v>
      </c>
      <c r="F356" s="20" t="s">
        <v>237</v>
      </c>
      <c r="G356" s="20" t="s">
        <v>225</v>
      </c>
      <c r="H356" s="20" t="s">
        <v>234</v>
      </c>
      <c r="I356" s="21" t="s">
        <v>32</v>
      </c>
      <c r="J356" s="22" t="s">
        <v>33</v>
      </c>
      <c r="K356" s="23">
        <f>L356/1.22*1</f>
        <v>407.3770491803279</v>
      </c>
      <c r="L356" s="26">
        <v>497</v>
      </c>
      <c r="M356" s="25">
        <v>145.77000000000001</v>
      </c>
      <c r="N356" s="25">
        <f t="shared" si="5"/>
        <v>177.83940000000001</v>
      </c>
    </row>
    <row r="357" spans="2:14" ht="43.5" customHeight="1" x14ac:dyDescent="0.35">
      <c r="B357" s="20" t="s">
        <v>25</v>
      </c>
      <c r="C357" s="20" t="s">
        <v>197</v>
      </c>
      <c r="D357" s="20" t="s">
        <v>238</v>
      </c>
      <c r="E357" s="20" t="s">
        <v>239</v>
      </c>
      <c r="F357" s="20" t="s">
        <v>240</v>
      </c>
      <c r="G357" s="20" t="s">
        <v>221</v>
      </c>
      <c r="H357" s="20" t="s">
        <v>234</v>
      </c>
      <c r="I357" s="21" t="s">
        <v>32</v>
      </c>
      <c r="J357" s="22" t="s">
        <v>33</v>
      </c>
      <c r="K357" s="23">
        <f>L357/1.22*1</f>
        <v>440.98360655737707</v>
      </c>
      <c r="L357" s="26">
        <v>538</v>
      </c>
      <c r="M357" s="25">
        <v>145.77000000000001</v>
      </c>
      <c r="N357" s="25">
        <f t="shared" si="5"/>
        <v>177.83940000000001</v>
      </c>
    </row>
    <row r="358" spans="2:14" ht="43.5" customHeight="1" x14ac:dyDescent="0.35">
      <c r="B358" s="20" t="s">
        <v>25</v>
      </c>
      <c r="C358" s="20" t="s">
        <v>197</v>
      </c>
      <c r="D358" s="20" t="s">
        <v>241</v>
      </c>
      <c r="E358" s="20" t="s">
        <v>242</v>
      </c>
      <c r="F358" s="20" t="s">
        <v>243</v>
      </c>
      <c r="G358" s="20" t="s">
        <v>244</v>
      </c>
      <c r="H358" s="20" t="s">
        <v>234</v>
      </c>
      <c r="I358" s="21" t="s">
        <v>32</v>
      </c>
      <c r="J358" s="22" t="s">
        <v>33</v>
      </c>
      <c r="K358" s="23">
        <f>L358/1.22*1</f>
        <v>527.86885245901635</v>
      </c>
      <c r="L358" s="26">
        <v>644</v>
      </c>
      <c r="M358" s="25">
        <v>145.77000000000001</v>
      </c>
      <c r="N358" s="25">
        <f t="shared" si="5"/>
        <v>177.83940000000001</v>
      </c>
    </row>
    <row r="359" spans="2:14" ht="43.5" customHeight="1" x14ac:dyDescent="0.35">
      <c r="B359" s="20" t="s">
        <v>25</v>
      </c>
      <c r="C359" s="20" t="s">
        <v>197</v>
      </c>
      <c r="D359" s="20" t="s">
        <v>245</v>
      </c>
      <c r="E359" s="20" t="s">
        <v>246</v>
      </c>
      <c r="F359" s="20" t="s">
        <v>247</v>
      </c>
      <c r="G359" s="20" t="s">
        <v>248</v>
      </c>
      <c r="H359" s="20" t="s">
        <v>234</v>
      </c>
      <c r="I359" s="21" t="s">
        <v>32</v>
      </c>
      <c r="J359" s="22" t="s">
        <v>33</v>
      </c>
      <c r="K359" s="23">
        <f>L359/1.22*1</f>
        <v>542.62295081967216</v>
      </c>
      <c r="L359" s="26">
        <v>662</v>
      </c>
      <c r="M359" s="25">
        <v>145.77000000000001</v>
      </c>
      <c r="N359" s="25">
        <f t="shared" si="5"/>
        <v>177.83940000000001</v>
      </c>
    </row>
    <row r="360" spans="2:14" ht="43.5" customHeight="1" x14ac:dyDescent="0.35">
      <c r="B360" s="20" t="s">
        <v>25</v>
      </c>
      <c r="C360" s="20" t="s">
        <v>197</v>
      </c>
      <c r="D360" s="20" t="s">
        <v>249</v>
      </c>
      <c r="E360" s="20" t="s">
        <v>250</v>
      </c>
      <c r="F360" s="20" t="s">
        <v>251</v>
      </c>
      <c r="G360" s="20" t="s">
        <v>252</v>
      </c>
      <c r="H360" s="20" t="s">
        <v>253</v>
      </c>
      <c r="I360" s="21" t="s">
        <v>32</v>
      </c>
      <c r="J360" s="22" t="s">
        <v>33</v>
      </c>
      <c r="K360" s="23">
        <f>L360/1.22*1</f>
        <v>501.63934426229508</v>
      </c>
      <c r="L360" s="26">
        <v>612</v>
      </c>
      <c r="M360" s="25">
        <v>441.68</v>
      </c>
      <c r="N360" s="25">
        <f t="shared" si="5"/>
        <v>538.84960000000001</v>
      </c>
    </row>
    <row r="361" spans="2:14" ht="43.5" customHeight="1" x14ac:dyDescent="0.35">
      <c r="B361" s="20" t="s">
        <v>25</v>
      </c>
      <c r="C361" s="20" t="s">
        <v>197</v>
      </c>
      <c r="D361" s="20" t="s">
        <v>100</v>
      </c>
      <c r="E361" s="20" t="s">
        <v>254</v>
      </c>
      <c r="F361" s="20" t="s">
        <v>255</v>
      </c>
      <c r="G361" s="20" t="s">
        <v>252</v>
      </c>
      <c r="H361" s="20" t="s">
        <v>253</v>
      </c>
      <c r="I361" s="21" t="s">
        <v>32</v>
      </c>
      <c r="J361" s="22" t="s">
        <v>33</v>
      </c>
      <c r="K361" s="23">
        <f>L361/1.22*1</f>
        <v>490.1639344262295</v>
      </c>
      <c r="L361" s="26">
        <v>598</v>
      </c>
      <c r="M361" s="25">
        <v>156.43</v>
      </c>
      <c r="N361" s="25">
        <f t="shared" si="5"/>
        <v>190.84460000000001</v>
      </c>
    </row>
    <row r="362" spans="2:14" ht="43.5" customHeight="1" x14ac:dyDescent="0.35">
      <c r="B362" s="20" t="s">
        <v>25</v>
      </c>
      <c r="C362" s="20" t="s">
        <v>197</v>
      </c>
      <c r="D362" s="20" t="s">
        <v>256</v>
      </c>
      <c r="E362" s="20" t="s">
        <v>257</v>
      </c>
      <c r="F362" s="20" t="s">
        <v>258</v>
      </c>
      <c r="G362" s="20" t="s">
        <v>259</v>
      </c>
      <c r="H362" s="20" t="s">
        <v>260</v>
      </c>
      <c r="I362" s="21" t="s">
        <v>32</v>
      </c>
      <c r="J362" s="22" t="s">
        <v>33</v>
      </c>
      <c r="K362" s="23">
        <f>L362/1.22*1</f>
        <v>486.88524590163934</v>
      </c>
      <c r="L362" s="26">
        <v>594</v>
      </c>
      <c r="M362" s="25">
        <v>250.69</v>
      </c>
      <c r="N362" s="25">
        <f t="shared" si="5"/>
        <v>305.84179999999998</v>
      </c>
    </row>
    <row r="363" spans="2:14" ht="43.5" customHeight="1" x14ac:dyDescent="0.35">
      <c r="B363" s="20" t="s">
        <v>25</v>
      </c>
      <c r="C363" s="20" t="s">
        <v>197</v>
      </c>
      <c r="D363" s="20" t="s">
        <v>261</v>
      </c>
      <c r="E363" s="20" t="s">
        <v>262</v>
      </c>
      <c r="F363" s="20" t="s">
        <v>263</v>
      </c>
      <c r="G363" s="20" t="s">
        <v>264</v>
      </c>
      <c r="H363" s="20" t="s">
        <v>260</v>
      </c>
      <c r="I363" s="21" t="s">
        <v>32</v>
      </c>
      <c r="J363" s="22" t="s">
        <v>33</v>
      </c>
      <c r="K363" s="23">
        <f>L363/1.22*1</f>
        <v>422.13114754098359</v>
      </c>
      <c r="L363" s="26">
        <v>515</v>
      </c>
      <c r="M363" s="25">
        <v>256.43</v>
      </c>
      <c r="N363" s="25">
        <f t="shared" si="5"/>
        <v>312.84460000000001</v>
      </c>
    </row>
    <row r="364" spans="2:14" ht="43.5" customHeight="1" x14ac:dyDescent="0.35">
      <c r="B364" s="20" t="s">
        <v>25</v>
      </c>
      <c r="C364" s="20" t="s">
        <v>197</v>
      </c>
      <c r="D364" s="20" t="s">
        <v>265</v>
      </c>
      <c r="E364" s="20" t="s">
        <v>266</v>
      </c>
      <c r="F364" s="20" t="s">
        <v>267</v>
      </c>
      <c r="G364" s="20" t="s">
        <v>268</v>
      </c>
      <c r="H364" s="20" t="s">
        <v>269</v>
      </c>
      <c r="I364" s="21" t="s">
        <v>32</v>
      </c>
      <c r="J364" s="22" t="s">
        <v>33</v>
      </c>
      <c r="K364" s="23">
        <f>L364/1.22*1</f>
        <v>347.5409836065574</v>
      </c>
      <c r="L364" s="26">
        <v>424</v>
      </c>
      <c r="M364" s="25">
        <v>318.72000000000003</v>
      </c>
      <c r="N364" s="25">
        <f t="shared" si="5"/>
        <v>388.83840000000004</v>
      </c>
    </row>
    <row r="365" spans="2:14" ht="43.5" customHeight="1" x14ac:dyDescent="0.35">
      <c r="B365" s="20" t="s">
        <v>25</v>
      </c>
      <c r="C365" s="20" t="s">
        <v>197</v>
      </c>
      <c r="D365" s="20" t="s">
        <v>270</v>
      </c>
      <c r="E365" s="20" t="s">
        <v>271</v>
      </c>
      <c r="F365" s="20" t="s">
        <v>272</v>
      </c>
      <c r="G365" s="20" t="s">
        <v>273</v>
      </c>
      <c r="H365" s="20" t="s">
        <v>274</v>
      </c>
      <c r="I365" s="21" t="s">
        <v>32</v>
      </c>
      <c r="J365" s="22" t="s">
        <v>33</v>
      </c>
      <c r="K365" s="23">
        <f>L365/1.22*1</f>
        <v>531.14754098360652</v>
      </c>
      <c r="L365" s="26">
        <v>648</v>
      </c>
      <c r="M365" s="25">
        <v>193.32</v>
      </c>
      <c r="N365" s="25">
        <f t="shared" si="5"/>
        <v>235.85039999999998</v>
      </c>
    </row>
    <row r="366" spans="2:14" ht="43.5" customHeight="1" x14ac:dyDescent="0.35">
      <c r="B366" s="20" t="s">
        <v>25</v>
      </c>
      <c r="C366" s="20" t="s">
        <v>197</v>
      </c>
      <c r="D366" s="20" t="s">
        <v>275</v>
      </c>
      <c r="E366" s="20" t="s">
        <v>276</v>
      </c>
      <c r="F366" s="20" t="s">
        <v>277</v>
      </c>
      <c r="G366" s="20" t="s">
        <v>278</v>
      </c>
      <c r="H366" s="20" t="s">
        <v>279</v>
      </c>
      <c r="I366" s="21" t="s">
        <v>32</v>
      </c>
      <c r="J366" s="22" t="s">
        <v>33</v>
      </c>
      <c r="K366" s="23">
        <f>L366/1.22*1</f>
        <v>345.08196721311475</v>
      </c>
      <c r="L366" s="26">
        <v>421</v>
      </c>
      <c r="M366" s="25">
        <v>239.22</v>
      </c>
      <c r="N366" s="25">
        <f t="shared" si="5"/>
        <v>291.84839999999997</v>
      </c>
    </row>
    <row r="367" spans="2:14" ht="43.5" customHeight="1" x14ac:dyDescent="0.35">
      <c r="B367" s="20" t="s">
        <v>25</v>
      </c>
      <c r="C367" s="20" t="s">
        <v>197</v>
      </c>
      <c r="D367" s="20" t="s">
        <v>280</v>
      </c>
      <c r="E367" s="20" t="s">
        <v>281</v>
      </c>
      <c r="F367" s="20" t="s">
        <v>282</v>
      </c>
      <c r="G367" s="20" t="s">
        <v>278</v>
      </c>
      <c r="H367" s="20" t="s">
        <v>279</v>
      </c>
      <c r="I367" s="21" t="s">
        <v>32</v>
      </c>
      <c r="J367" s="22" t="s">
        <v>33</v>
      </c>
      <c r="K367" s="23">
        <f>L367/1.22*1</f>
        <v>381.96721311475409</v>
      </c>
      <c r="L367" s="26">
        <v>466</v>
      </c>
      <c r="M367" s="25">
        <v>332.66</v>
      </c>
      <c r="N367" s="25">
        <f t="shared" si="5"/>
        <v>405.84520000000003</v>
      </c>
    </row>
    <row r="368" spans="2:14" ht="43.5" customHeight="1" x14ac:dyDescent="0.35">
      <c r="B368" s="20" t="s">
        <v>25</v>
      </c>
      <c r="C368" s="20" t="s">
        <v>197</v>
      </c>
      <c r="D368" s="20" t="s">
        <v>283</v>
      </c>
      <c r="E368" s="20" t="s">
        <v>284</v>
      </c>
      <c r="F368" s="20" t="s">
        <v>285</v>
      </c>
      <c r="G368" s="20" t="s">
        <v>278</v>
      </c>
      <c r="H368" s="20" t="s">
        <v>279</v>
      </c>
      <c r="I368" s="21" t="s">
        <v>32</v>
      </c>
      <c r="J368" s="22" t="s">
        <v>33</v>
      </c>
      <c r="K368" s="23">
        <f>L368/1.22*1</f>
        <v>351.63934426229508</v>
      </c>
      <c r="L368" s="26">
        <v>429</v>
      </c>
      <c r="M368" s="25">
        <v>340.86</v>
      </c>
      <c r="N368" s="25">
        <f t="shared" si="5"/>
        <v>415.8492</v>
      </c>
    </row>
    <row r="369" spans="2:14" ht="43.5" customHeight="1" x14ac:dyDescent="0.35">
      <c r="B369" s="20" t="s">
        <v>25</v>
      </c>
      <c r="C369" s="20" t="s">
        <v>197</v>
      </c>
      <c r="D369" s="20" t="s">
        <v>286</v>
      </c>
      <c r="E369" s="20" t="s">
        <v>287</v>
      </c>
      <c r="F369" s="20" t="s">
        <v>288</v>
      </c>
      <c r="G369" s="20" t="s">
        <v>278</v>
      </c>
      <c r="H369" s="20" t="s">
        <v>279</v>
      </c>
      <c r="I369" s="21" t="s">
        <v>32</v>
      </c>
      <c r="J369" s="22" t="s">
        <v>33</v>
      </c>
      <c r="K369" s="23">
        <f>L369/1.22*1</f>
        <v>328.68852459016392</v>
      </c>
      <c r="L369" s="26">
        <v>401</v>
      </c>
      <c r="M369" s="25">
        <v>246.59</v>
      </c>
      <c r="N369" s="25">
        <f t="shared" si="5"/>
        <v>300.83980000000003</v>
      </c>
    </row>
    <row r="370" spans="2:14" ht="43.5" customHeight="1" x14ac:dyDescent="0.35">
      <c r="B370" s="20" t="s">
        <v>25</v>
      </c>
      <c r="C370" s="20" t="s">
        <v>197</v>
      </c>
      <c r="D370" s="20" t="s">
        <v>289</v>
      </c>
      <c r="E370" s="20" t="s">
        <v>290</v>
      </c>
      <c r="F370" s="20" t="s">
        <v>291</v>
      </c>
      <c r="G370" s="20" t="s">
        <v>278</v>
      </c>
      <c r="H370" s="20" t="s">
        <v>279</v>
      </c>
      <c r="I370" s="21" t="s">
        <v>32</v>
      </c>
      <c r="J370" s="22" t="s">
        <v>33</v>
      </c>
      <c r="K370" s="23">
        <f>L370/1.22*1</f>
        <v>457.3770491803279</v>
      </c>
      <c r="L370" s="26">
        <v>558</v>
      </c>
      <c r="M370" s="25">
        <v>539.22</v>
      </c>
      <c r="N370" s="25">
        <f t="shared" si="5"/>
        <v>657.84839999999997</v>
      </c>
    </row>
    <row r="371" spans="2:14" ht="43.5" customHeight="1" x14ac:dyDescent="0.35">
      <c r="B371" s="20" t="s">
        <v>25</v>
      </c>
      <c r="C371" s="20" t="s">
        <v>197</v>
      </c>
      <c r="D371" s="20" t="s">
        <v>292</v>
      </c>
      <c r="E371" s="20" t="s">
        <v>293</v>
      </c>
      <c r="F371" s="20" t="s">
        <v>294</v>
      </c>
      <c r="G371" s="20" t="s">
        <v>278</v>
      </c>
      <c r="H371" s="20" t="s">
        <v>279</v>
      </c>
      <c r="I371" s="21" t="s">
        <v>32</v>
      </c>
      <c r="J371" s="22" t="s">
        <v>33</v>
      </c>
      <c r="K371" s="23">
        <f>L371/1.22*1</f>
        <v>390.98360655737707</v>
      </c>
      <c r="L371" s="26">
        <v>477</v>
      </c>
      <c r="M371" s="25">
        <v>269.54000000000002</v>
      </c>
      <c r="N371" s="25">
        <f t="shared" si="5"/>
        <v>328.83879999999999</v>
      </c>
    </row>
    <row r="372" spans="2:14" ht="43.5" customHeight="1" x14ac:dyDescent="0.35">
      <c r="B372" s="20" t="s">
        <v>25</v>
      </c>
      <c r="C372" s="20" t="s">
        <v>197</v>
      </c>
      <c r="D372" s="20" t="s">
        <v>295</v>
      </c>
      <c r="E372" s="20" t="s">
        <v>296</v>
      </c>
      <c r="F372" s="20" t="s">
        <v>297</v>
      </c>
      <c r="G372" s="20" t="s">
        <v>278</v>
      </c>
      <c r="H372" s="20" t="s">
        <v>279</v>
      </c>
      <c r="I372" s="21" t="s">
        <v>32</v>
      </c>
      <c r="J372" s="22" t="s">
        <v>33</v>
      </c>
      <c r="K372" s="23">
        <f>L372/1.22*1</f>
        <v>250.81967213114754</v>
      </c>
      <c r="L372" s="26">
        <v>306</v>
      </c>
      <c r="M372" s="25">
        <v>385.12</v>
      </c>
      <c r="N372" s="25">
        <f t="shared" si="5"/>
        <v>469.84640000000002</v>
      </c>
    </row>
    <row r="373" spans="2:14" ht="43.5" customHeight="1" x14ac:dyDescent="0.35">
      <c r="B373" s="20" t="s">
        <v>25</v>
      </c>
      <c r="C373" s="20" t="s">
        <v>197</v>
      </c>
      <c r="D373" s="20" t="s">
        <v>298</v>
      </c>
      <c r="E373" s="20" t="s">
        <v>299</v>
      </c>
      <c r="F373" s="20" t="s">
        <v>300</v>
      </c>
      <c r="G373" s="20" t="s">
        <v>278</v>
      </c>
      <c r="H373" s="20" t="s">
        <v>279</v>
      </c>
      <c r="I373" s="21" t="s">
        <v>32</v>
      </c>
      <c r="J373" s="22" t="s">
        <v>33</v>
      </c>
      <c r="K373" s="23">
        <f>L373/1.22*1</f>
        <v>621.31147540983613</v>
      </c>
      <c r="L373" s="26">
        <v>758</v>
      </c>
      <c r="M373" s="25">
        <v>566.27</v>
      </c>
      <c r="N373" s="25">
        <f t="shared" si="5"/>
        <v>690.84939999999995</v>
      </c>
    </row>
    <row r="374" spans="2:14" ht="43.5" customHeight="1" x14ac:dyDescent="0.35">
      <c r="B374" s="20" t="s">
        <v>25</v>
      </c>
      <c r="C374" s="20" t="s">
        <v>301</v>
      </c>
      <c r="D374" s="20" t="s">
        <v>302</v>
      </c>
      <c r="E374" s="20" t="s">
        <v>303</v>
      </c>
      <c r="F374" s="20" t="s">
        <v>304</v>
      </c>
      <c r="G374" s="20" t="s">
        <v>305</v>
      </c>
      <c r="H374" s="20" t="s">
        <v>306</v>
      </c>
      <c r="I374" s="21" t="s">
        <v>32</v>
      </c>
      <c r="J374" s="22" t="s">
        <v>33</v>
      </c>
      <c r="K374" s="23">
        <f>L374/1.22*1</f>
        <v>317.21311475409834</v>
      </c>
      <c r="L374" s="26">
        <v>387</v>
      </c>
      <c r="M374" s="25">
        <v>873.64</v>
      </c>
      <c r="N374" s="25">
        <f t="shared" si="5"/>
        <v>1065.8407999999999</v>
      </c>
    </row>
    <row r="375" spans="2:14" ht="43.5" customHeight="1" x14ac:dyDescent="0.35">
      <c r="B375" s="20" t="s">
        <v>25</v>
      </c>
      <c r="C375" s="20" t="s">
        <v>301</v>
      </c>
      <c r="D375" s="20" t="s">
        <v>307</v>
      </c>
      <c r="E375" s="20" t="s">
        <v>303</v>
      </c>
      <c r="F375" s="20" t="s">
        <v>308</v>
      </c>
      <c r="G375" s="20" t="s">
        <v>309</v>
      </c>
      <c r="H375" s="20" t="s">
        <v>310</v>
      </c>
      <c r="I375" s="21" t="s">
        <v>32</v>
      </c>
      <c r="J375" s="22" t="s">
        <v>33</v>
      </c>
      <c r="K375" s="23">
        <f>L375/1.22*1</f>
        <v>653.27868852459017</v>
      </c>
      <c r="L375" s="26">
        <v>797</v>
      </c>
      <c r="M375" s="25">
        <v>428.56</v>
      </c>
      <c r="N375" s="25">
        <f t="shared" si="5"/>
        <v>522.84320000000002</v>
      </c>
    </row>
    <row r="376" spans="2:14" ht="43.5" customHeight="1" x14ac:dyDescent="0.35">
      <c r="B376" s="20" t="s">
        <v>25</v>
      </c>
      <c r="C376" s="20" t="s">
        <v>301</v>
      </c>
      <c r="D376" s="20" t="s">
        <v>311</v>
      </c>
      <c r="E376" s="20" t="s">
        <v>303</v>
      </c>
      <c r="F376" s="20" t="s">
        <v>312</v>
      </c>
      <c r="G376" s="20" t="s">
        <v>313</v>
      </c>
      <c r="H376" s="20" t="s">
        <v>314</v>
      </c>
      <c r="I376" s="21" t="s">
        <v>32</v>
      </c>
      <c r="J376" s="22" t="s">
        <v>33</v>
      </c>
      <c r="K376" s="23">
        <f>L376/1.22*1</f>
        <v>918.03278688524597</v>
      </c>
      <c r="L376" s="26">
        <v>1120</v>
      </c>
      <c r="M376" s="25">
        <v>216.27</v>
      </c>
      <c r="N376" s="25">
        <f t="shared" si="5"/>
        <v>263.8494</v>
      </c>
    </row>
    <row r="377" spans="2:14" ht="43.5" customHeight="1" x14ac:dyDescent="0.35">
      <c r="B377" s="20" t="s">
        <v>25</v>
      </c>
      <c r="C377" s="20" t="s">
        <v>301</v>
      </c>
      <c r="D377" s="20" t="s">
        <v>315</v>
      </c>
      <c r="E377" s="20" t="s">
        <v>316</v>
      </c>
      <c r="F377" s="20" t="s">
        <v>317</v>
      </c>
      <c r="G377" s="20" t="s">
        <v>318</v>
      </c>
      <c r="H377" s="20" t="s">
        <v>319</v>
      </c>
      <c r="I377" s="21" t="s">
        <v>32</v>
      </c>
      <c r="J377" s="22" t="s">
        <v>33</v>
      </c>
      <c r="K377" s="23">
        <f>L377/1.22*1</f>
        <v>477.04918032786884</v>
      </c>
      <c r="L377" s="26">
        <v>582</v>
      </c>
      <c r="M377" s="25">
        <v>344.13</v>
      </c>
      <c r="N377" s="25">
        <f t="shared" si="5"/>
        <v>419.83859999999999</v>
      </c>
    </row>
    <row r="378" spans="2:14" ht="43.5" customHeight="1" x14ac:dyDescent="0.35">
      <c r="B378" s="20" t="s">
        <v>25</v>
      </c>
      <c r="C378" s="20" t="s">
        <v>301</v>
      </c>
      <c r="D378" s="20" t="s">
        <v>320</v>
      </c>
      <c r="E378" s="20" t="s">
        <v>321</v>
      </c>
      <c r="F378" s="20" t="s">
        <v>322</v>
      </c>
      <c r="G378" s="20" t="s">
        <v>323</v>
      </c>
      <c r="H378" s="20" t="s">
        <v>324</v>
      </c>
      <c r="I378" s="21" t="s">
        <v>32</v>
      </c>
      <c r="J378" s="22" t="s">
        <v>33</v>
      </c>
      <c r="K378" s="23">
        <f>L378/1.22*1</f>
        <v>1000</v>
      </c>
      <c r="L378" s="26">
        <v>1220</v>
      </c>
      <c r="M378" s="25">
        <v>596.59</v>
      </c>
      <c r="N378" s="25">
        <f t="shared" si="5"/>
        <v>727.83979999999997</v>
      </c>
    </row>
    <row r="379" spans="2:14" ht="43.5" customHeight="1" x14ac:dyDescent="0.35">
      <c r="B379" s="20" t="s">
        <v>25</v>
      </c>
      <c r="C379" s="20" t="s">
        <v>301</v>
      </c>
      <c r="D379" s="20" t="s">
        <v>325</v>
      </c>
      <c r="E379" s="20" t="s">
        <v>326</v>
      </c>
      <c r="F379" s="20" t="s">
        <v>327</v>
      </c>
      <c r="G379" s="20" t="s">
        <v>328</v>
      </c>
      <c r="H379" s="20" t="s">
        <v>329</v>
      </c>
      <c r="I379" s="21" t="s">
        <v>32</v>
      </c>
      <c r="J379" s="22" t="s">
        <v>33</v>
      </c>
      <c r="K379" s="23">
        <f>L379/1.22*1</f>
        <v>445.90163934426232</v>
      </c>
      <c r="L379" s="26">
        <v>544</v>
      </c>
      <c r="M379" s="25">
        <v>175.28</v>
      </c>
      <c r="N379" s="25">
        <f t="shared" si="5"/>
        <v>213.8416</v>
      </c>
    </row>
    <row r="380" spans="2:14" ht="43.5" customHeight="1" x14ac:dyDescent="0.35">
      <c r="B380" s="20" t="s">
        <v>25</v>
      </c>
      <c r="C380" s="20" t="s">
        <v>301</v>
      </c>
      <c r="D380" s="20" t="s">
        <v>330</v>
      </c>
      <c r="E380" s="20" t="s">
        <v>331</v>
      </c>
      <c r="F380" s="20" t="s">
        <v>332</v>
      </c>
      <c r="G380" s="20" t="s">
        <v>333</v>
      </c>
      <c r="H380" s="20" t="s">
        <v>334</v>
      </c>
      <c r="I380" s="21" t="s">
        <v>32</v>
      </c>
      <c r="J380" s="22" t="s">
        <v>33</v>
      </c>
      <c r="K380" s="23">
        <f>L380/1.22*1</f>
        <v>301.63934426229508</v>
      </c>
      <c r="L380" s="26">
        <v>368</v>
      </c>
      <c r="M380" s="25">
        <v>482.66</v>
      </c>
      <c r="N380" s="25">
        <f t="shared" si="5"/>
        <v>588.84519999999998</v>
      </c>
    </row>
    <row r="381" spans="2:14" ht="43.5" customHeight="1" x14ac:dyDescent="0.35">
      <c r="B381" s="20" t="s">
        <v>25</v>
      </c>
      <c r="C381" s="20" t="s">
        <v>301</v>
      </c>
      <c r="D381" s="20" t="s">
        <v>335</v>
      </c>
      <c r="E381" s="20" t="s">
        <v>336</v>
      </c>
      <c r="F381" s="20" t="s">
        <v>337</v>
      </c>
      <c r="G381" s="20" t="s">
        <v>338</v>
      </c>
      <c r="H381" s="20" t="s">
        <v>339</v>
      </c>
      <c r="I381" s="21" t="s">
        <v>32</v>
      </c>
      <c r="J381" s="22" t="s">
        <v>33</v>
      </c>
      <c r="K381" s="23">
        <f>L381/1.22*1</f>
        <v>344.26229508196724</v>
      </c>
      <c r="L381" s="26">
        <v>420</v>
      </c>
      <c r="M381" s="25">
        <v>182.66</v>
      </c>
      <c r="N381" s="25">
        <f t="shared" si="5"/>
        <v>222.84519999999998</v>
      </c>
    </row>
    <row r="382" spans="2:14" ht="43.5" customHeight="1" x14ac:dyDescent="0.35">
      <c r="B382" s="20" t="s">
        <v>25</v>
      </c>
      <c r="C382" s="20" t="s">
        <v>301</v>
      </c>
      <c r="D382" s="20" t="s">
        <v>340</v>
      </c>
      <c r="E382" s="20" t="s">
        <v>341</v>
      </c>
      <c r="F382" s="20" t="s">
        <v>342</v>
      </c>
      <c r="G382" s="20" t="s">
        <v>343</v>
      </c>
      <c r="H382" s="20" t="s">
        <v>344</v>
      </c>
      <c r="I382" s="21" t="s">
        <v>32</v>
      </c>
      <c r="J382" s="22" t="s">
        <v>33</v>
      </c>
      <c r="K382" s="23">
        <f>L382/1.22*1</f>
        <v>409.8360655737705</v>
      </c>
      <c r="L382" s="26">
        <v>500</v>
      </c>
      <c r="M382" s="25">
        <v>1044.95</v>
      </c>
      <c r="N382" s="25">
        <f t="shared" si="5"/>
        <v>1274.8389999999999</v>
      </c>
    </row>
    <row r="383" spans="2:14" ht="43.5" customHeight="1" x14ac:dyDescent="0.35">
      <c r="B383" s="20" t="s">
        <v>25</v>
      </c>
      <c r="C383" s="20" t="s">
        <v>301</v>
      </c>
      <c r="D383" s="20" t="s">
        <v>345</v>
      </c>
      <c r="E383" s="20" t="s">
        <v>341</v>
      </c>
      <c r="F383" s="20" t="s">
        <v>346</v>
      </c>
      <c r="G383" s="20" t="s">
        <v>347</v>
      </c>
      <c r="H383" s="20" t="s">
        <v>348</v>
      </c>
      <c r="I383" s="21" t="s">
        <v>32</v>
      </c>
      <c r="J383" s="22" t="s">
        <v>33</v>
      </c>
      <c r="K383" s="23">
        <f>L383/1.22*1</f>
        <v>543.44262295081967</v>
      </c>
      <c r="L383" s="26">
        <v>663</v>
      </c>
      <c r="M383" s="25">
        <v>271.18</v>
      </c>
      <c r="N383" s="25">
        <f t="shared" si="5"/>
        <v>330.83960000000002</v>
      </c>
    </row>
    <row r="384" spans="2:14" ht="43.5" customHeight="1" x14ac:dyDescent="0.35">
      <c r="B384" s="20" t="s">
        <v>25</v>
      </c>
      <c r="C384" s="20" t="s">
        <v>301</v>
      </c>
      <c r="D384" s="20" t="s">
        <v>345</v>
      </c>
      <c r="E384" s="20" t="s">
        <v>341</v>
      </c>
      <c r="F384" s="20" t="s">
        <v>349</v>
      </c>
      <c r="G384" s="20" t="s">
        <v>350</v>
      </c>
      <c r="H384" s="20" t="s">
        <v>348</v>
      </c>
      <c r="I384" s="21" t="s">
        <v>32</v>
      </c>
      <c r="J384" s="22" t="s">
        <v>33</v>
      </c>
      <c r="K384" s="23">
        <f>L384/1.22*1</f>
        <v>454.91803278688525</v>
      </c>
      <c r="L384" s="26">
        <v>555</v>
      </c>
      <c r="M384" s="25">
        <v>510.53</v>
      </c>
      <c r="N384" s="25">
        <f t="shared" si="5"/>
        <v>622.84659999999997</v>
      </c>
    </row>
    <row r="385" spans="2:14" ht="43.5" customHeight="1" x14ac:dyDescent="0.35">
      <c r="B385" s="20" t="s">
        <v>25</v>
      </c>
      <c r="C385" s="20" t="s">
        <v>301</v>
      </c>
      <c r="D385" s="20" t="s">
        <v>345</v>
      </c>
      <c r="E385" s="20" t="s">
        <v>341</v>
      </c>
      <c r="F385" s="20" t="s">
        <v>351</v>
      </c>
      <c r="G385" s="20" t="s">
        <v>350</v>
      </c>
      <c r="H385" s="20" t="s">
        <v>352</v>
      </c>
      <c r="I385" s="21" t="s">
        <v>32</v>
      </c>
      <c r="J385" s="22" t="s">
        <v>33</v>
      </c>
      <c r="K385" s="23">
        <f>L385/1.22*1</f>
        <v>281.14754098360658</v>
      </c>
      <c r="L385" s="26">
        <v>343</v>
      </c>
      <c r="M385" s="25">
        <v>510.53</v>
      </c>
      <c r="N385" s="25">
        <f t="shared" si="5"/>
        <v>622.84659999999997</v>
      </c>
    </row>
    <row r="386" spans="2:14" ht="43.5" customHeight="1" x14ac:dyDescent="0.35">
      <c r="B386" s="20" t="s">
        <v>25</v>
      </c>
      <c r="C386" s="20" t="s">
        <v>301</v>
      </c>
      <c r="D386" s="20" t="s">
        <v>353</v>
      </c>
      <c r="E386" s="20" t="s">
        <v>341</v>
      </c>
      <c r="F386" s="20" t="s">
        <v>354</v>
      </c>
      <c r="G386" s="20" t="s">
        <v>355</v>
      </c>
      <c r="H386" s="20" t="s">
        <v>356</v>
      </c>
      <c r="I386" s="21" t="s">
        <v>32</v>
      </c>
      <c r="J386" s="22" t="s">
        <v>33</v>
      </c>
      <c r="K386" s="23">
        <f>L386/1.22*1</f>
        <v>936.88524590163934</v>
      </c>
      <c r="L386" s="26">
        <v>1143</v>
      </c>
      <c r="M386" s="25">
        <v>328.56</v>
      </c>
      <c r="N386" s="25">
        <f t="shared" si="5"/>
        <v>400.84319999999997</v>
      </c>
    </row>
    <row r="387" spans="2:14" ht="43.5" customHeight="1" x14ac:dyDescent="0.35">
      <c r="B387" s="20" t="s">
        <v>25</v>
      </c>
      <c r="C387" s="20" t="s">
        <v>301</v>
      </c>
      <c r="D387" s="20" t="s">
        <v>357</v>
      </c>
      <c r="E387" s="20" t="s">
        <v>358</v>
      </c>
      <c r="F387" s="20" t="s">
        <v>359</v>
      </c>
      <c r="G387" s="20" t="s">
        <v>360</v>
      </c>
      <c r="H387" s="20" t="s">
        <v>356</v>
      </c>
      <c r="I387" s="21" t="s">
        <v>32</v>
      </c>
      <c r="J387" s="22" t="s">
        <v>33</v>
      </c>
      <c r="K387" s="23">
        <f>L387/1.22*1</f>
        <v>914.7540983606558</v>
      </c>
      <c r="L387" s="26">
        <v>1116</v>
      </c>
      <c r="M387" s="25">
        <v>233.48</v>
      </c>
      <c r="N387" s="25">
        <f t="shared" si="5"/>
        <v>284.84559999999999</v>
      </c>
    </row>
    <row r="388" spans="2:14" ht="43.5" customHeight="1" x14ac:dyDescent="0.35">
      <c r="B388" s="20" t="s">
        <v>25</v>
      </c>
      <c r="C388" s="20" t="s">
        <v>301</v>
      </c>
      <c r="D388" s="20" t="s">
        <v>361</v>
      </c>
      <c r="E388" s="20" t="s">
        <v>362</v>
      </c>
      <c r="F388" s="20" t="s">
        <v>363</v>
      </c>
      <c r="G388" s="20" t="s">
        <v>364</v>
      </c>
      <c r="H388" s="20" t="s">
        <v>365</v>
      </c>
      <c r="I388" s="21" t="s">
        <v>32</v>
      </c>
      <c r="J388" s="22" t="s">
        <v>33</v>
      </c>
      <c r="K388" s="23">
        <f>L388/1.22*1</f>
        <v>1015.5737704918033</v>
      </c>
      <c r="L388" s="26">
        <v>1239</v>
      </c>
      <c r="M388" s="25">
        <v>303.97000000000003</v>
      </c>
      <c r="N388" s="25">
        <f t="shared" si="5"/>
        <v>370.84340000000003</v>
      </c>
    </row>
    <row r="389" spans="2:14" ht="43.5" customHeight="1" x14ac:dyDescent="0.35">
      <c r="B389" s="20" t="s">
        <v>25</v>
      </c>
      <c r="C389" s="20" t="s">
        <v>301</v>
      </c>
      <c r="D389" s="20" t="s">
        <v>366</v>
      </c>
      <c r="E389" s="20" t="s">
        <v>367</v>
      </c>
      <c r="F389" s="20" t="s">
        <v>368</v>
      </c>
      <c r="G389" s="20" t="s">
        <v>369</v>
      </c>
      <c r="H389" s="20" t="s">
        <v>370</v>
      </c>
      <c r="I389" s="21" t="s">
        <v>32</v>
      </c>
      <c r="J389" s="22" t="s">
        <v>33</v>
      </c>
      <c r="K389" s="23">
        <f>L389/1.22*1</f>
        <v>886.06557377049182</v>
      </c>
      <c r="L389" s="26">
        <v>1081</v>
      </c>
      <c r="M389" s="25">
        <v>574.46</v>
      </c>
      <c r="N389" s="25">
        <f t="shared" si="5"/>
        <v>700.84120000000007</v>
      </c>
    </row>
    <row r="390" spans="2:14" ht="43.5" customHeight="1" x14ac:dyDescent="0.35">
      <c r="B390" s="20" t="s">
        <v>25</v>
      </c>
      <c r="C390" s="20" t="s">
        <v>301</v>
      </c>
      <c r="D390" s="20" t="s">
        <v>371</v>
      </c>
      <c r="E390" s="20" t="s">
        <v>372</v>
      </c>
      <c r="F390" s="20" t="s">
        <v>373</v>
      </c>
      <c r="G390" s="20" t="s">
        <v>374</v>
      </c>
      <c r="H390" s="20" t="s">
        <v>370</v>
      </c>
      <c r="I390" s="21" t="s">
        <v>32</v>
      </c>
      <c r="J390" s="22" t="s">
        <v>33</v>
      </c>
      <c r="K390" s="23">
        <f>L390/1.22*1</f>
        <v>976.22950819672133</v>
      </c>
      <c r="L390" s="26">
        <v>1191</v>
      </c>
      <c r="M390" s="25">
        <v>236.76</v>
      </c>
      <c r="N390" s="25">
        <f t="shared" si="5"/>
        <v>288.84719999999999</v>
      </c>
    </row>
    <row r="391" spans="2:14" ht="43.5" customHeight="1" x14ac:dyDescent="0.35">
      <c r="B391" s="20" t="s">
        <v>25</v>
      </c>
      <c r="C391" s="20" t="s">
        <v>301</v>
      </c>
      <c r="D391" s="20" t="s">
        <v>375</v>
      </c>
      <c r="E391" s="20" t="s">
        <v>376</v>
      </c>
      <c r="F391" s="20" t="s">
        <v>377</v>
      </c>
      <c r="G391" s="20" t="s">
        <v>378</v>
      </c>
      <c r="H391" s="20" t="s">
        <v>379</v>
      </c>
      <c r="I391" s="21" t="s">
        <v>32</v>
      </c>
      <c r="J391" s="22" t="s">
        <v>33</v>
      </c>
      <c r="K391" s="23">
        <f>L391/1.22*1</f>
        <v>504.91803278688525</v>
      </c>
      <c r="L391" s="26">
        <v>616</v>
      </c>
      <c r="M391" s="25">
        <v>527.74</v>
      </c>
      <c r="N391" s="25">
        <f t="shared" si="5"/>
        <v>643.84280000000001</v>
      </c>
    </row>
    <row r="392" spans="2:14" ht="43.5" customHeight="1" x14ac:dyDescent="0.35">
      <c r="B392" s="20" t="s">
        <v>25</v>
      </c>
      <c r="C392" s="20" t="s">
        <v>301</v>
      </c>
      <c r="D392" s="20" t="s">
        <v>380</v>
      </c>
      <c r="E392" s="20" t="s">
        <v>381</v>
      </c>
      <c r="F392" s="20" t="s">
        <v>382</v>
      </c>
      <c r="G392" s="20" t="s">
        <v>383</v>
      </c>
      <c r="H392" s="20" t="s">
        <v>384</v>
      </c>
      <c r="I392" s="21" t="s">
        <v>32</v>
      </c>
      <c r="J392" s="22" t="s">
        <v>33</v>
      </c>
      <c r="K392" s="23">
        <f>L392/1.22*1</f>
        <v>340.1639344262295</v>
      </c>
      <c r="L392" s="26">
        <v>415</v>
      </c>
      <c r="M392" s="25">
        <v>476.92</v>
      </c>
      <c r="N392" s="25">
        <f t="shared" si="5"/>
        <v>581.8424</v>
      </c>
    </row>
    <row r="393" spans="2:14" ht="43.5" customHeight="1" x14ac:dyDescent="0.35">
      <c r="B393" s="20" t="s">
        <v>25</v>
      </c>
      <c r="C393" s="20" t="s">
        <v>301</v>
      </c>
      <c r="D393" s="20" t="s">
        <v>380</v>
      </c>
      <c r="E393" s="20" t="s">
        <v>385</v>
      </c>
      <c r="F393" s="20" t="s">
        <v>386</v>
      </c>
      <c r="G393" s="20" t="s">
        <v>387</v>
      </c>
      <c r="H393" s="20" t="s">
        <v>388</v>
      </c>
      <c r="I393" s="21" t="s">
        <v>32</v>
      </c>
      <c r="J393" s="22" t="s">
        <v>33</v>
      </c>
      <c r="K393" s="23">
        <f>L393/1.22*1</f>
        <v>445.90163934426232</v>
      </c>
      <c r="L393" s="26">
        <v>544</v>
      </c>
      <c r="M393" s="25">
        <v>1568.72</v>
      </c>
      <c r="N393" s="25">
        <f t="shared" si="5"/>
        <v>1913.8384000000001</v>
      </c>
    </row>
    <row r="394" spans="2:14" ht="43.5" customHeight="1" x14ac:dyDescent="0.35">
      <c r="B394" s="20" t="s">
        <v>25</v>
      </c>
      <c r="C394" s="20" t="s">
        <v>301</v>
      </c>
      <c r="D394" s="20" t="s">
        <v>389</v>
      </c>
      <c r="E394" s="20" t="s">
        <v>390</v>
      </c>
      <c r="F394" s="20" t="s">
        <v>391</v>
      </c>
      <c r="G394" s="20" t="s">
        <v>392</v>
      </c>
      <c r="H394" s="20" t="s">
        <v>388</v>
      </c>
      <c r="I394" s="21" t="s">
        <v>32</v>
      </c>
      <c r="J394" s="22" t="s">
        <v>33</v>
      </c>
      <c r="K394" s="23">
        <f>L394/1.22*1</f>
        <v>679.50819672131149</v>
      </c>
      <c r="L394" s="26">
        <v>829</v>
      </c>
      <c r="M394" s="25">
        <v>499.05</v>
      </c>
      <c r="N394" s="25">
        <f t="shared" ref="N394:N457" si="6">M394*1.22</f>
        <v>608.84100000000001</v>
      </c>
    </row>
    <row r="395" spans="2:14" ht="43.5" customHeight="1" x14ac:dyDescent="0.35">
      <c r="B395" s="20" t="s">
        <v>25</v>
      </c>
      <c r="C395" s="20" t="s">
        <v>301</v>
      </c>
      <c r="D395" s="20" t="s">
        <v>389</v>
      </c>
      <c r="E395" s="20" t="s">
        <v>390</v>
      </c>
      <c r="F395" s="20" t="s">
        <v>393</v>
      </c>
      <c r="G395" s="20" t="s">
        <v>383</v>
      </c>
      <c r="H395" s="20" t="s">
        <v>394</v>
      </c>
      <c r="I395" s="21" t="s">
        <v>32</v>
      </c>
      <c r="J395" s="22" t="s">
        <v>33</v>
      </c>
      <c r="K395" s="23">
        <f>L395/1.22*1</f>
        <v>309.8360655737705</v>
      </c>
      <c r="L395" s="26">
        <v>378</v>
      </c>
      <c r="M395" s="25">
        <v>597.41</v>
      </c>
      <c r="N395" s="25">
        <f t="shared" si="6"/>
        <v>728.84019999999998</v>
      </c>
    </row>
    <row r="396" spans="2:14" ht="43.5" customHeight="1" x14ac:dyDescent="0.35">
      <c r="B396" s="20" t="s">
        <v>25</v>
      </c>
      <c r="C396" s="20" t="s">
        <v>301</v>
      </c>
      <c r="D396" s="20" t="s">
        <v>389</v>
      </c>
      <c r="E396" s="20" t="s">
        <v>395</v>
      </c>
      <c r="F396" s="20" t="s">
        <v>396</v>
      </c>
      <c r="G396" s="20" t="s">
        <v>397</v>
      </c>
      <c r="H396" s="20" t="s">
        <v>398</v>
      </c>
      <c r="I396" s="21" t="s">
        <v>32</v>
      </c>
      <c r="J396" s="22" t="s">
        <v>33</v>
      </c>
      <c r="K396" s="23">
        <f>L396/1.22*1</f>
        <v>273.77049180327867</v>
      </c>
      <c r="L396" s="26">
        <v>334</v>
      </c>
      <c r="M396" s="25">
        <v>475.28</v>
      </c>
      <c r="N396" s="25">
        <f t="shared" si="6"/>
        <v>579.84159999999997</v>
      </c>
    </row>
    <row r="397" spans="2:14" ht="43.5" customHeight="1" x14ac:dyDescent="0.35">
      <c r="B397" s="20" t="s">
        <v>25</v>
      </c>
      <c r="C397" s="20" t="s">
        <v>301</v>
      </c>
      <c r="D397" s="20" t="s">
        <v>399</v>
      </c>
      <c r="E397" s="20" t="s">
        <v>400</v>
      </c>
      <c r="F397" s="20" t="s">
        <v>401</v>
      </c>
      <c r="G397" s="20" t="s">
        <v>402</v>
      </c>
      <c r="H397" s="20" t="s">
        <v>403</v>
      </c>
      <c r="I397" s="21" t="s">
        <v>32</v>
      </c>
      <c r="J397" s="22" t="s">
        <v>33</v>
      </c>
      <c r="K397" s="23">
        <f>L397/1.22*1</f>
        <v>523.77049180327867</v>
      </c>
      <c r="L397" s="26">
        <v>639</v>
      </c>
      <c r="M397" s="25">
        <v>765.45</v>
      </c>
      <c r="N397" s="25">
        <f t="shared" si="6"/>
        <v>933.84900000000005</v>
      </c>
    </row>
    <row r="398" spans="2:14" ht="43.5" customHeight="1" x14ac:dyDescent="0.35">
      <c r="B398" s="20" t="s">
        <v>25</v>
      </c>
      <c r="C398" s="20" t="s">
        <v>301</v>
      </c>
      <c r="D398" s="20" t="s">
        <v>404</v>
      </c>
      <c r="E398" s="20" t="s">
        <v>385</v>
      </c>
      <c r="F398" s="20" t="s">
        <v>405</v>
      </c>
      <c r="G398" s="20" t="s">
        <v>406</v>
      </c>
      <c r="H398" s="20" t="s">
        <v>407</v>
      </c>
      <c r="I398" s="21" t="s">
        <v>32</v>
      </c>
      <c r="J398" s="22" t="s">
        <v>33</v>
      </c>
      <c r="K398" s="23">
        <f>L398/1.22*1</f>
        <v>485.24590163934425</v>
      </c>
      <c r="L398" s="26">
        <v>592</v>
      </c>
      <c r="M398" s="25">
        <v>289.22000000000003</v>
      </c>
      <c r="N398" s="25">
        <f t="shared" si="6"/>
        <v>352.84840000000003</v>
      </c>
    </row>
    <row r="399" spans="2:14" ht="43.5" customHeight="1" x14ac:dyDescent="0.35">
      <c r="B399" s="20" t="s">
        <v>25</v>
      </c>
      <c r="C399" s="20" t="s">
        <v>301</v>
      </c>
      <c r="D399" s="20" t="s">
        <v>404</v>
      </c>
      <c r="E399" s="20" t="s">
        <v>400</v>
      </c>
      <c r="F399" s="20" t="s">
        <v>408</v>
      </c>
      <c r="G399" s="20" t="s">
        <v>409</v>
      </c>
      <c r="H399" s="20" t="s">
        <v>410</v>
      </c>
      <c r="I399" s="21" t="s">
        <v>32</v>
      </c>
      <c r="J399" s="22" t="s">
        <v>33</v>
      </c>
      <c r="K399" s="23">
        <f>L399/1.22*1</f>
        <v>586.06557377049182</v>
      </c>
      <c r="L399" s="26">
        <v>715</v>
      </c>
      <c r="M399" s="25">
        <v>199.87</v>
      </c>
      <c r="N399" s="25">
        <f t="shared" si="6"/>
        <v>243.84139999999999</v>
      </c>
    </row>
    <row r="400" spans="2:14" ht="43.5" customHeight="1" x14ac:dyDescent="0.35">
      <c r="B400" s="20" t="s">
        <v>25</v>
      </c>
      <c r="C400" s="20" t="s">
        <v>301</v>
      </c>
      <c r="D400" s="20" t="s">
        <v>411</v>
      </c>
      <c r="E400" s="20" t="s">
        <v>412</v>
      </c>
      <c r="F400" s="20" t="s">
        <v>413</v>
      </c>
      <c r="G400" s="20" t="s">
        <v>397</v>
      </c>
      <c r="H400" s="20" t="s">
        <v>414</v>
      </c>
      <c r="I400" s="21" t="s">
        <v>32</v>
      </c>
      <c r="J400" s="22" t="s">
        <v>33</v>
      </c>
      <c r="K400" s="23">
        <f>L400/1.22*1</f>
        <v>344.26229508196724</v>
      </c>
      <c r="L400" s="26">
        <v>420</v>
      </c>
      <c r="M400" s="25">
        <v>258.89</v>
      </c>
      <c r="N400" s="25">
        <f t="shared" si="6"/>
        <v>315.8458</v>
      </c>
    </row>
    <row r="401" spans="2:14" ht="43.5" customHeight="1" x14ac:dyDescent="0.35">
      <c r="B401" s="20" t="s">
        <v>25</v>
      </c>
      <c r="C401" s="20" t="s">
        <v>301</v>
      </c>
      <c r="D401" s="20" t="s">
        <v>411</v>
      </c>
      <c r="E401" s="20" t="s">
        <v>415</v>
      </c>
      <c r="F401" s="20" t="s">
        <v>416</v>
      </c>
      <c r="G401" s="20" t="s">
        <v>417</v>
      </c>
      <c r="H401" s="20" t="s">
        <v>414</v>
      </c>
      <c r="I401" s="21" t="s">
        <v>32</v>
      </c>
      <c r="J401" s="22" t="s">
        <v>33</v>
      </c>
      <c r="K401" s="23">
        <f>L401/1.22*1</f>
        <v>422.13114754098359</v>
      </c>
      <c r="L401" s="26">
        <v>515</v>
      </c>
      <c r="M401" s="25">
        <v>281.83999999999997</v>
      </c>
      <c r="N401" s="25">
        <f t="shared" si="6"/>
        <v>343.84479999999996</v>
      </c>
    </row>
    <row r="402" spans="2:14" ht="43.5" customHeight="1" x14ac:dyDescent="0.35">
      <c r="B402" s="20" t="s">
        <v>25</v>
      </c>
      <c r="C402" s="20" t="s">
        <v>301</v>
      </c>
      <c r="D402" s="20" t="s">
        <v>418</v>
      </c>
      <c r="E402" s="20" t="s">
        <v>419</v>
      </c>
      <c r="F402" s="20" t="s">
        <v>420</v>
      </c>
      <c r="G402" s="20" t="s">
        <v>421</v>
      </c>
      <c r="H402" s="20" t="s">
        <v>422</v>
      </c>
      <c r="I402" s="21" t="s">
        <v>32</v>
      </c>
      <c r="J402" s="22" t="s">
        <v>33</v>
      </c>
      <c r="K402" s="23">
        <f>L402/1.22*1</f>
        <v>687.70491803278685</v>
      </c>
      <c r="L402" s="26">
        <v>839</v>
      </c>
      <c r="M402" s="25">
        <v>258.89</v>
      </c>
      <c r="N402" s="25">
        <f t="shared" si="6"/>
        <v>315.8458</v>
      </c>
    </row>
    <row r="403" spans="2:14" ht="43.5" customHeight="1" x14ac:dyDescent="0.35">
      <c r="B403" s="20" t="s">
        <v>25</v>
      </c>
      <c r="C403" s="20" t="s">
        <v>301</v>
      </c>
      <c r="D403" s="20" t="s">
        <v>418</v>
      </c>
      <c r="E403" s="20" t="s">
        <v>423</v>
      </c>
      <c r="F403" s="20" t="s">
        <v>424</v>
      </c>
      <c r="G403" s="20" t="s">
        <v>425</v>
      </c>
      <c r="H403" s="20" t="s">
        <v>426</v>
      </c>
      <c r="I403" s="21" t="s">
        <v>32</v>
      </c>
      <c r="J403" s="22" t="s">
        <v>33</v>
      </c>
      <c r="K403" s="23">
        <f>L403/1.22*1</f>
        <v>578.68852459016398</v>
      </c>
      <c r="L403" s="26">
        <v>706</v>
      </c>
      <c r="M403" s="25">
        <v>208.89</v>
      </c>
      <c r="N403" s="25">
        <f t="shared" si="6"/>
        <v>254.84579999999997</v>
      </c>
    </row>
    <row r="404" spans="2:14" ht="43.5" customHeight="1" x14ac:dyDescent="0.35">
      <c r="B404" s="20" t="s">
        <v>25</v>
      </c>
      <c r="C404" s="20" t="s">
        <v>301</v>
      </c>
      <c r="D404" s="20" t="s">
        <v>427</v>
      </c>
      <c r="E404" s="20" t="s">
        <v>428</v>
      </c>
      <c r="F404" s="20" t="s">
        <v>429</v>
      </c>
      <c r="G404" s="20" t="s">
        <v>383</v>
      </c>
      <c r="H404" s="20" t="s">
        <v>430</v>
      </c>
      <c r="I404" s="21" t="s">
        <v>32</v>
      </c>
      <c r="J404" s="22" t="s">
        <v>33</v>
      </c>
      <c r="K404" s="23">
        <f>L404/1.22*1</f>
        <v>378.68852459016392</v>
      </c>
      <c r="L404" s="26">
        <v>462</v>
      </c>
      <c r="M404" s="25">
        <v>188.4</v>
      </c>
      <c r="N404" s="25">
        <f t="shared" si="6"/>
        <v>229.84800000000001</v>
      </c>
    </row>
    <row r="405" spans="2:14" ht="43.5" customHeight="1" x14ac:dyDescent="0.35">
      <c r="B405" s="20" t="s">
        <v>25</v>
      </c>
      <c r="C405" s="20" t="s">
        <v>301</v>
      </c>
      <c r="D405" s="20" t="s">
        <v>431</v>
      </c>
      <c r="E405" s="20" t="s">
        <v>432</v>
      </c>
      <c r="F405" s="20" t="s">
        <v>433</v>
      </c>
      <c r="G405" s="20" t="s">
        <v>313</v>
      </c>
      <c r="H405" s="20" t="s">
        <v>434</v>
      </c>
      <c r="I405" s="21" t="s">
        <v>32</v>
      </c>
      <c r="J405" s="22" t="s">
        <v>33</v>
      </c>
      <c r="K405" s="23">
        <f>L405/1.22*1</f>
        <v>636.06557377049182</v>
      </c>
      <c r="L405" s="26">
        <v>776</v>
      </c>
      <c r="M405" s="25">
        <v>230.2</v>
      </c>
      <c r="N405" s="25">
        <f t="shared" si="6"/>
        <v>280.84399999999999</v>
      </c>
    </row>
    <row r="406" spans="2:14" ht="43.5" customHeight="1" x14ac:dyDescent="0.35">
      <c r="B406" s="20" t="s">
        <v>25</v>
      </c>
      <c r="C406" s="20" t="s">
        <v>301</v>
      </c>
      <c r="D406" s="20" t="s">
        <v>435</v>
      </c>
      <c r="E406" s="20" t="s">
        <v>436</v>
      </c>
      <c r="F406" s="20" t="s">
        <v>434</v>
      </c>
      <c r="G406" s="20" t="s">
        <v>437</v>
      </c>
      <c r="H406" s="20" t="s">
        <v>438</v>
      </c>
      <c r="I406" s="21" t="s">
        <v>32</v>
      </c>
      <c r="J406" s="22" t="s">
        <v>33</v>
      </c>
      <c r="K406" s="23">
        <f>L406/1.22*1</f>
        <v>322.95081967213116</v>
      </c>
      <c r="L406" s="26">
        <v>394</v>
      </c>
      <c r="M406" s="25">
        <v>469.54</v>
      </c>
      <c r="N406" s="25">
        <f t="shared" si="6"/>
        <v>572.83879999999999</v>
      </c>
    </row>
    <row r="407" spans="2:14" ht="43.5" customHeight="1" x14ac:dyDescent="0.35">
      <c r="B407" s="20" t="s">
        <v>25</v>
      </c>
      <c r="C407" s="20" t="s">
        <v>301</v>
      </c>
      <c r="D407" s="20" t="s">
        <v>439</v>
      </c>
      <c r="E407" s="20" t="s">
        <v>436</v>
      </c>
      <c r="F407" s="20" t="s">
        <v>440</v>
      </c>
      <c r="G407" s="20" t="s">
        <v>437</v>
      </c>
      <c r="H407" s="20" t="s">
        <v>441</v>
      </c>
      <c r="I407" s="21" t="s">
        <v>32</v>
      </c>
      <c r="J407" s="22" t="s">
        <v>33</v>
      </c>
      <c r="K407" s="23">
        <f>L407/1.22*1</f>
        <v>377.86885245901641</v>
      </c>
      <c r="L407" s="26">
        <v>461</v>
      </c>
      <c r="M407" s="25">
        <v>362.99</v>
      </c>
      <c r="N407" s="25">
        <f t="shared" si="6"/>
        <v>442.84780000000001</v>
      </c>
    </row>
    <row r="408" spans="2:14" ht="43.5" customHeight="1" x14ac:dyDescent="0.35">
      <c r="B408" s="20" t="s">
        <v>25</v>
      </c>
      <c r="C408" s="20" t="s">
        <v>301</v>
      </c>
      <c r="D408" s="20" t="s">
        <v>442</v>
      </c>
      <c r="E408" s="20" t="s">
        <v>436</v>
      </c>
      <c r="F408" s="20" t="s">
        <v>443</v>
      </c>
      <c r="G408" s="20" t="s">
        <v>437</v>
      </c>
      <c r="H408" s="20" t="s">
        <v>444</v>
      </c>
      <c r="I408" s="21" t="s">
        <v>32</v>
      </c>
      <c r="J408" s="22" t="s">
        <v>33</v>
      </c>
      <c r="K408" s="23">
        <f>L408/1.22*1</f>
        <v>344.26229508196724</v>
      </c>
      <c r="L408" s="26">
        <v>420</v>
      </c>
      <c r="M408" s="25">
        <v>269.54000000000002</v>
      </c>
      <c r="N408" s="25">
        <f t="shared" si="6"/>
        <v>328.83879999999999</v>
      </c>
    </row>
    <row r="409" spans="2:14" ht="43.5" customHeight="1" x14ac:dyDescent="0.35">
      <c r="B409" s="20" t="s">
        <v>25</v>
      </c>
      <c r="C409" s="20" t="s">
        <v>301</v>
      </c>
      <c r="D409" s="20" t="s">
        <v>445</v>
      </c>
      <c r="E409" s="20" t="s">
        <v>436</v>
      </c>
      <c r="F409" s="20" t="s">
        <v>446</v>
      </c>
      <c r="G409" s="20" t="s">
        <v>447</v>
      </c>
      <c r="H409" s="20" t="s">
        <v>448</v>
      </c>
      <c r="I409" s="21" t="s">
        <v>32</v>
      </c>
      <c r="J409" s="22" t="s">
        <v>33</v>
      </c>
      <c r="K409" s="23">
        <f>L409/1.22*1</f>
        <v>519.67213114754099</v>
      </c>
      <c r="L409" s="26">
        <v>634</v>
      </c>
      <c r="M409" s="25">
        <v>307.25</v>
      </c>
      <c r="N409" s="25">
        <f t="shared" si="6"/>
        <v>374.84499999999997</v>
      </c>
    </row>
    <row r="410" spans="2:14" ht="43.5" customHeight="1" x14ac:dyDescent="0.35">
      <c r="B410" s="20" t="s">
        <v>25</v>
      </c>
      <c r="C410" s="20" t="s">
        <v>301</v>
      </c>
      <c r="D410" s="20" t="s">
        <v>449</v>
      </c>
      <c r="E410" s="20" t="s">
        <v>436</v>
      </c>
      <c r="F410" s="20" t="s">
        <v>450</v>
      </c>
      <c r="G410" s="20" t="s">
        <v>451</v>
      </c>
      <c r="H410" s="20" t="s">
        <v>452</v>
      </c>
      <c r="I410" s="21" t="s">
        <v>32</v>
      </c>
      <c r="J410" s="22" t="s">
        <v>33</v>
      </c>
      <c r="K410" s="23">
        <f>L410/1.22*1</f>
        <v>368.03278688524591</v>
      </c>
      <c r="L410" s="26">
        <v>449</v>
      </c>
      <c r="M410" s="25">
        <v>554.79</v>
      </c>
      <c r="N410" s="25">
        <f t="shared" si="6"/>
        <v>676.84379999999999</v>
      </c>
    </row>
    <row r="411" spans="2:14" ht="43.5" customHeight="1" x14ac:dyDescent="0.35">
      <c r="B411" s="20" t="s">
        <v>25</v>
      </c>
      <c r="C411" s="20" t="s">
        <v>301</v>
      </c>
      <c r="D411" s="20" t="s">
        <v>453</v>
      </c>
      <c r="E411" s="20" t="s">
        <v>436</v>
      </c>
      <c r="F411" s="20" t="s">
        <v>454</v>
      </c>
      <c r="G411" s="20" t="s">
        <v>455</v>
      </c>
      <c r="H411" s="20" t="s">
        <v>456</v>
      </c>
      <c r="I411" s="21" t="s">
        <v>32</v>
      </c>
      <c r="J411" s="22" t="s">
        <v>33</v>
      </c>
      <c r="K411" s="23">
        <f>L411/1.22*1</f>
        <v>359.8360655737705</v>
      </c>
      <c r="L411" s="26">
        <v>439</v>
      </c>
      <c r="M411" s="25">
        <v>277.74</v>
      </c>
      <c r="N411" s="25">
        <f t="shared" si="6"/>
        <v>338.84280000000001</v>
      </c>
    </row>
    <row r="412" spans="2:14" ht="43.5" customHeight="1" x14ac:dyDescent="0.35">
      <c r="B412" s="20" t="s">
        <v>25</v>
      </c>
      <c r="C412" s="20" t="s">
        <v>301</v>
      </c>
      <c r="D412" s="20" t="s">
        <v>457</v>
      </c>
      <c r="E412" s="20" t="s">
        <v>458</v>
      </c>
      <c r="F412" s="20" t="s">
        <v>459</v>
      </c>
      <c r="G412" s="20" t="s">
        <v>460</v>
      </c>
      <c r="H412" s="20" t="s">
        <v>461</v>
      </c>
      <c r="I412" s="21" t="s">
        <v>32</v>
      </c>
      <c r="J412" s="22" t="s">
        <v>33</v>
      </c>
      <c r="K412" s="23">
        <f>L412/1.22*1</f>
        <v>375.40983606557376</v>
      </c>
      <c r="L412" s="26">
        <v>458</v>
      </c>
      <c r="M412" s="25">
        <v>631.02</v>
      </c>
      <c r="N412" s="25">
        <f t="shared" si="6"/>
        <v>769.84439999999995</v>
      </c>
    </row>
    <row r="413" spans="2:14" ht="43.5" customHeight="1" x14ac:dyDescent="0.35">
      <c r="B413" s="20" t="s">
        <v>25</v>
      </c>
      <c r="C413" s="20" t="s">
        <v>301</v>
      </c>
      <c r="D413" s="20" t="s">
        <v>462</v>
      </c>
      <c r="E413" s="20" t="s">
        <v>463</v>
      </c>
      <c r="F413" s="20" t="s">
        <v>464</v>
      </c>
      <c r="G413" s="20" t="s">
        <v>465</v>
      </c>
      <c r="H413" s="20" t="s">
        <v>466</v>
      </c>
      <c r="I413" s="21" t="s">
        <v>32</v>
      </c>
      <c r="J413" s="22" t="s">
        <v>33</v>
      </c>
      <c r="K413" s="23">
        <f>L413/1.22*1</f>
        <v>292.62295081967216</v>
      </c>
      <c r="L413" s="26">
        <v>357</v>
      </c>
      <c r="M413" s="25">
        <v>286.76</v>
      </c>
      <c r="N413" s="25">
        <f t="shared" si="6"/>
        <v>349.84719999999999</v>
      </c>
    </row>
    <row r="414" spans="2:14" ht="43.5" customHeight="1" x14ac:dyDescent="0.35">
      <c r="B414" s="20" t="s">
        <v>25</v>
      </c>
      <c r="C414" s="20" t="s">
        <v>301</v>
      </c>
      <c r="D414" s="20" t="s">
        <v>467</v>
      </c>
      <c r="E414" s="20" t="s">
        <v>468</v>
      </c>
      <c r="F414" s="20" t="s">
        <v>469</v>
      </c>
      <c r="G414" s="20" t="s">
        <v>369</v>
      </c>
      <c r="H414" s="20" t="s">
        <v>466</v>
      </c>
      <c r="I414" s="21" t="s">
        <v>32</v>
      </c>
      <c r="J414" s="22" t="s">
        <v>33</v>
      </c>
      <c r="K414" s="23">
        <f>L414/1.22*1</f>
        <v>279.50819672131149</v>
      </c>
      <c r="L414" s="26">
        <v>341</v>
      </c>
      <c r="M414" s="25">
        <v>236.76</v>
      </c>
      <c r="N414" s="25">
        <f t="shared" si="6"/>
        <v>288.84719999999999</v>
      </c>
    </row>
    <row r="415" spans="2:14" ht="43.5" customHeight="1" x14ac:dyDescent="0.35">
      <c r="B415" s="20" t="s">
        <v>25</v>
      </c>
      <c r="C415" s="20" t="s">
        <v>301</v>
      </c>
      <c r="D415" s="20" t="s">
        <v>470</v>
      </c>
      <c r="E415" s="20" t="s">
        <v>471</v>
      </c>
      <c r="F415" s="20" t="s">
        <v>472</v>
      </c>
      <c r="G415" s="20" t="s">
        <v>465</v>
      </c>
      <c r="H415" s="20" t="s">
        <v>466</v>
      </c>
      <c r="I415" s="21" t="s">
        <v>32</v>
      </c>
      <c r="J415" s="22" t="s">
        <v>33</v>
      </c>
      <c r="K415" s="23">
        <f>L415/1.22*1</f>
        <v>301.63934426229508</v>
      </c>
      <c r="L415" s="26">
        <v>368</v>
      </c>
      <c r="M415" s="25">
        <v>406.43</v>
      </c>
      <c r="N415" s="25">
        <f t="shared" si="6"/>
        <v>495.84460000000001</v>
      </c>
    </row>
    <row r="416" spans="2:14" ht="43.5" customHeight="1" x14ac:dyDescent="0.35">
      <c r="B416" s="20" t="s">
        <v>25</v>
      </c>
      <c r="C416" s="20" t="s">
        <v>301</v>
      </c>
      <c r="D416" s="20" t="s">
        <v>473</v>
      </c>
      <c r="E416" s="20" t="s">
        <v>474</v>
      </c>
      <c r="F416" s="20" t="s">
        <v>475</v>
      </c>
      <c r="G416" s="20" t="s">
        <v>460</v>
      </c>
      <c r="H416" s="20" t="s">
        <v>461</v>
      </c>
      <c r="I416" s="21" t="s">
        <v>32</v>
      </c>
      <c r="J416" s="22" t="s">
        <v>33</v>
      </c>
      <c r="K416" s="23">
        <f>L416/1.22*1</f>
        <v>645.08196721311481</v>
      </c>
      <c r="L416" s="26">
        <v>787</v>
      </c>
      <c r="M416" s="25">
        <v>225.28</v>
      </c>
      <c r="N416" s="25">
        <f t="shared" si="6"/>
        <v>274.84159999999997</v>
      </c>
    </row>
    <row r="417" spans="2:14" ht="43.5" customHeight="1" x14ac:dyDescent="0.35">
      <c r="B417" s="20" t="s">
        <v>25</v>
      </c>
      <c r="C417" s="20" t="s">
        <v>301</v>
      </c>
      <c r="D417" s="20" t="s">
        <v>476</v>
      </c>
      <c r="E417" s="20" t="s">
        <v>477</v>
      </c>
      <c r="F417" s="20" t="s">
        <v>478</v>
      </c>
      <c r="G417" s="20" t="s">
        <v>460</v>
      </c>
      <c r="H417" s="20" t="s">
        <v>461</v>
      </c>
      <c r="I417" s="21" t="s">
        <v>32</v>
      </c>
      <c r="J417" s="22" t="s">
        <v>33</v>
      </c>
      <c r="K417" s="23">
        <f>L417/1.22*1</f>
        <v>645.08196721311481</v>
      </c>
      <c r="L417" s="26">
        <v>787</v>
      </c>
      <c r="M417" s="25">
        <v>402.33</v>
      </c>
      <c r="N417" s="25">
        <f t="shared" si="6"/>
        <v>490.84259999999995</v>
      </c>
    </row>
    <row r="418" spans="2:14" ht="43.5" customHeight="1" x14ac:dyDescent="0.35">
      <c r="B418" s="20" t="s">
        <v>25</v>
      </c>
      <c r="C418" s="20" t="s">
        <v>301</v>
      </c>
      <c r="D418" s="20" t="s">
        <v>476</v>
      </c>
      <c r="E418" s="20" t="s">
        <v>479</v>
      </c>
      <c r="F418" s="20" t="s">
        <v>480</v>
      </c>
      <c r="G418" s="20" t="s">
        <v>460</v>
      </c>
      <c r="H418" s="20" t="s">
        <v>461</v>
      </c>
      <c r="I418" s="21" t="s">
        <v>32</v>
      </c>
      <c r="J418" s="22" t="s">
        <v>33</v>
      </c>
      <c r="K418" s="23">
        <f>L418/1.22*1</f>
        <v>645.08196721311481</v>
      </c>
      <c r="L418" s="26">
        <v>787</v>
      </c>
      <c r="M418" s="25">
        <v>618.72</v>
      </c>
      <c r="N418" s="25">
        <f t="shared" si="6"/>
        <v>754.83839999999998</v>
      </c>
    </row>
    <row r="419" spans="2:14" ht="43.5" customHeight="1" x14ac:dyDescent="0.35">
      <c r="B419" s="20" t="s">
        <v>25</v>
      </c>
      <c r="C419" s="20" t="s">
        <v>301</v>
      </c>
      <c r="D419" s="20" t="s">
        <v>457</v>
      </c>
      <c r="E419" s="20" t="s">
        <v>481</v>
      </c>
      <c r="F419" s="20" t="s">
        <v>482</v>
      </c>
      <c r="G419" s="20" t="s">
        <v>460</v>
      </c>
      <c r="H419" s="20" t="s">
        <v>461</v>
      </c>
      <c r="I419" s="21" t="s">
        <v>32</v>
      </c>
      <c r="J419" s="22" t="s">
        <v>33</v>
      </c>
      <c r="K419" s="23">
        <f>L419/1.22*1</f>
        <v>645.08196721311481</v>
      </c>
      <c r="L419" s="26">
        <v>787</v>
      </c>
      <c r="M419" s="25">
        <v>314.63</v>
      </c>
      <c r="N419" s="25">
        <f t="shared" si="6"/>
        <v>383.84859999999998</v>
      </c>
    </row>
    <row r="420" spans="2:14" ht="43.5" customHeight="1" x14ac:dyDescent="0.35">
      <c r="B420" s="20" t="s">
        <v>25</v>
      </c>
      <c r="C420" s="20" t="s">
        <v>301</v>
      </c>
      <c r="D420" s="20" t="s">
        <v>483</v>
      </c>
      <c r="E420" s="20" t="s">
        <v>484</v>
      </c>
      <c r="F420" s="20" t="s">
        <v>485</v>
      </c>
      <c r="G420" s="20" t="s">
        <v>486</v>
      </c>
      <c r="H420" s="20" t="s">
        <v>487</v>
      </c>
      <c r="I420" s="21" t="s">
        <v>32</v>
      </c>
      <c r="J420" s="22" t="s">
        <v>33</v>
      </c>
      <c r="K420" s="23">
        <f>L420/1.22*1</f>
        <v>628.68852459016398</v>
      </c>
      <c r="L420" s="26">
        <v>767</v>
      </c>
      <c r="M420" s="25">
        <v>262.99</v>
      </c>
      <c r="N420" s="25">
        <f t="shared" si="6"/>
        <v>320.84780000000001</v>
      </c>
    </row>
    <row r="421" spans="2:14" ht="43.5" customHeight="1" x14ac:dyDescent="0.35">
      <c r="B421" s="20" t="s">
        <v>25</v>
      </c>
      <c r="C421" s="20" t="s">
        <v>301</v>
      </c>
      <c r="D421" s="20" t="s">
        <v>483</v>
      </c>
      <c r="E421" s="20" t="s">
        <v>488</v>
      </c>
      <c r="F421" s="20" t="s">
        <v>489</v>
      </c>
      <c r="G421" s="20" t="s">
        <v>490</v>
      </c>
      <c r="H421" s="20" t="s">
        <v>487</v>
      </c>
      <c r="I421" s="21" t="s">
        <v>32</v>
      </c>
      <c r="J421" s="22" t="s">
        <v>33</v>
      </c>
      <c r="K421" s="23">
        <f>L421/1.22*1</f>
        <v>340.1639344262295</v>
      </c>
      <c r="L421" s="26">
        <v>415</v>
      </c>
      <c r="M421" s="25">
        <v>311.35000000000002</v>
      </c>
      <c r="N421" s="25">
        <f t="shared" si="6"/>
        <v>379.84700000000004</v>
      </c>
    </row>
    <row r="422" spans="2:14" ht="43.5" customHeight="1" x14ac:dyDescent="0.35">
      <c r="B422" s="20" t="s">
        <v>25</v>
      </c>
      <c r="C422" s="20" t="s">
        <v>301</v>
      </c>
      <c r="D422" s="20" t="s">
        <v>483</v>
      </c>
      <c r="E422" s="20" t="s">
        <v>491</v>
      </c>
      <c r="F422" s="20" t="s">
        <v>492</v>
      </c>
      <c r="G422" s="20" t="s">
        <v>493</v>
      </c>
      <c r="H422" s="20" t="s">
        <v>494</v>
      </c>
      <c r="I422" s="21" t="s">
        <v>32</v>
      </c>
      <c r="J422" s="22" t="s">
        <v>33</v>
      </c>
      <c r="K422" s="23">
        <f>L422/1.22*1</f>
        <v>1445.0819672131147</v>
      </c>
      <c r="L422" s="26">
        <v>1763</v>
      </c>
      <c r="M422" s="25">
        <v>428.56</v>
      </c>
      <c r="N422" s="25">
        <f t="shared" si="6"/>
        <v>522.84320000000002</v>
      </c>
    </row>
    <row r="423" spans="2:14" ht="43.5" customHeight="1" x14ac:dyDescent="0.35">
      <c r="B423" s="20" t="s">
        <v>25</v>
      </c>
      <c r="C423" s="20" t="s">
        <v>301</v>
      </c>
      <c r="D423" s="20" t="s">
        <v>483</v>
      </c>
      <c r="E423" s="20" t="s">
        <v>495</v>
      </c>
      <c r="F423" s="20" t="s">
        <v>496</v>
      </c>
      <c r="G423" s="20" t="s">
        <v>497</v>
      </c>
      <c r="H423" s="20" t="s">
        <v>487</v>
      </c>
      <c r="I423" s="21" t="s">
        <v>32</v>
      </c>
      <c r="J423" s="22" t="s">
        <v>33</v>
      </c>
      <c r="K423" s="23">
        <f>L423/1.22*1</f>
        <v>473.77049180327867</v>
      </c>
      <c r="L423" s="26">
        <v>578</v>
      </c>
      <c r="M423" s="25">
        <v>289.22000000000003</v>
      </c>
      <c r="N423" s="25">
        <f t="shared" si="6"/>
        <v>352.84840000000003</v>
      </c>
    </row>
    <row r="424" spans="2:14" ht="43.5" customHeight="1" x14ac:dyDescent="0.35">
      <c r="B424" s="20" t="s">
        <v>25</v>
      </c>
      <c r="C424" s="20" t="s">
        <v>301</v>
      </c>
      <c r="D424" s="20" t="s">
        <v>498</v>
      </c>
      <c r="E424" s="20" t="s">
        <v>499</v>
      </c>
      <c r="F424" s="20" t="s">
        <v>500</v>
      </c>
      <c r="G424" s="20" t="s">
        <v>501</v>
      </c>
      <c r="H424" s="20" t="s">
        <v>487</v>
      </c>
      <c r="I424" s="21" t="s">
        <v>32</v>
      </c>
      <c r="J424" s="22" t="s">
        <v>33</v>
      </c>
      <c r="K424" s="23">
        <f>L424/1.22*1</f>
        <v>620.49180327868851</v>
      </c>
      <c r="L424" s="26">
        <v>757</v>
      </c>
      <c r="M424" s="25">
        <v>408.07</v>
      </c>
      <c r="N424" s="25">
        <f t="shared" si="6"/>
        <v>497.84539999999998</v>
      </c>
    </row>
    <row r="425" spans="2:14" ht="43.5" customHeight="1" x14ac:dyDescent="0.35">
      <c r="B425" s="20" t="s">
        <v>25</v>
      </c>
      <c r="C425" s="20" t="s">
        <v>301</v>
      </c>
      <c r="D425" s="20" t="s">
        <v>502</v>
      </c>
      <c r="E425" s="20" t="s">
        <v>503</v>
      </c>
      <c r="F425" s="20" t="s">
        <v>504</v>
      </c>
      <c r="G425" s="20" t="s">
        <v>505</v>
      </c>
      <c r="H425" s="20" t="s">
        <v>487</v>
      </c>
      <c r="I425" s="21" t="s">
        <v>32</v>
      </c>
      <c r="J425" s="22" t="s">
        <v>33</v>
      </c>
      <c r="K425" s="23">
        <f>L425/1.22*1</f>
        <v>477.04918032786884</v>
      </c>
      <c r="L425" s="26">
        <v>582</v>
      </c>
      <c r="M425" s="25">
        <v>618.72</v>
      </c>
      <c r="N425" s="25">
        <f t="shared" si="6"/>
        <v>754.83839999999998</v>
      </c>
    </row>
    <row r="426" spans="2:14" ht="43.5" customHeight="1" x14ac:dyDescent="0.35">
      <c r="B426" s="20" t="s">
        <v>25</v>
      </c>
      <c r="C426" s="20" t="s">
        <v>301</v>
      </c>
      <c r="D426" s="20" t="s">
        <v>502</v>
      </c>
      <c r="E426" s="20" t="s">
        <v>506</v>
      </c>
      <c r="F426" s="20" t="s">
        <v>507</v>
      </c>
      <c r="G426" s="20" t="s">
        <v>505</v>
      </c>
      <c r="H426" s="20" t="s">
        <v>487</v>
      </c>
      <c r="I426" s="21" t="s">
        <v>32</v>
      </c>
      <c r="J426" s="22" t="s">
        <v>33</v>
      </c>
      <c r="K426" s="23">
        <f>L426/1.22*1</f>
        <v>265.57377049180326</v>
      </c>
      <c r="L426" s="26">
        <v>324</v>
      </c>
      <c r="M426" s="25">
        <v>314.63</v>
      </c>
      <c r="N426" s="25">
        <f t="shared" si="6"/>
        <v>383.84859999999998</v>
      </c>
    </row>
    <row r="427" spans="2:14" ht="43.5" customHeight="1" x14ac:dyDescent="0.35">
      <c r="B427" s="20" t="s">
        <v>25</v>
      </c>
      <c r="C427" s="20" t="s">
        <v>301</v>
      </c>
      <c r="D427" s="20" t="s">
        <v>508</v>
      </c>
      <c r="E427" s="20" t="s">
        <v>509</v>
      </c>
      <c r="F427" s="20" t="s">
        <v>510</v>
      </c>
      <c r="G427" s="20" t="s">
        <v>511</v>
      </c>
      <c r="H427" s="20" t="s">
        <v>512</v>
      </c>
      <c r="I427" s="21" t="s">
        <v>32</v>
      </c>
      <c r="J427" s="22" t="s">
        <v>33</v>
      </c>
      <c r="K427" s="23">
        <f>L427/1.22*1</f>
        <v>304.91803278688525</v>
      </c>
      <c r="L427" s="26">
        <v>372</v>
      </c>
      <c r="M427" s="25">
        <v>348.23</v>
      </c>
      <c r="N427" s="25">
        <f t="shared" si="6"/>
        <v>424.84059999999999</v>
      </c>
    </row>
    <row r="428" spans="2:14" ht="43.5" customHeight="1" x14ac:dyDescent="0.35">
      <c r="B428" s="20" t="s">
        <v>25</v>
      </c>
      <c r="C428" s="20" t="s">
        <v>301</v>
      </c>
      <c r="D428" s="20" t="s">
        <v>513</v>
      </c>
      <c r="E428" s="20" t="s">
        <v>514</v>
      </c>
      <c r="F428" s="20" t="s">
        <v>515</v>
      </c>
      <c r="G428" s="20" t="s">
        <v>516</v>
      </c>
      <c r="H428" s="20" t="s">
        <v>517</v>
      </c>
      <c r="I428" s="21" t="s">
        <v>32</v>
      </c>
      <c r="J428" s="22" t="s">
        <v>33</v>
      </c>
      <c r="K428" s="23">
        <f>L428/1.22*1</f>
        <v>758.19672131147547</v>
      </c>
      <c r="L428" s="26">
        <v>925</v>
      </c>
      <c r="M428" s="25">
        <v>311.35000000000002</v>
      </c>
      <c r="N428" s="25">
        <f t="shared" si="6"/>
        <v>379.84700000000004</v>
      </c>
    </row>
    <row r="429" spans="2:14" ht="43.5" customHeight="1" x14ac:dyDescent="0.35">
      <c r="B429" s="20" t="s">
        <v>25</v>
      </c>
      <c r="C429" s="20" t="s">
        <v>301</v>
      </c>
      <c r="D429" s="20" t="s">
        <v>513</v>
      </c>
      <c r="E429" s="20" t="s">
        <v>514</v>
      </c>
      <c r="F429" s="20" t="s">
        <v>518</v>
      </c>
      <c r="G429" s="20" t="s">
        <v>519</v>
      </c>
      <c r="H429" s="20" t="s">
        <v>520</v>
      </c>
      <c r="I429" s="21" t="s">
        <v>32</v>
      </c>
      <c r="J429" s="22" t="s">
        <v>33</v>
      </c>
      <c r="K429" s="23">
        <f>L429/1.22*1</f>
        <v>371.31147540983608</v>
      </c>
      <c r="L429" s="26">
        <v>453</v>
      </c>
      <c r="M429" s="25">
        <v>378.56</v>
      </c>
      <c r="N429" s="25">
        <f t="shared" si="6"/>
        <v>461.84319999999997</v>
      </c>
    </row>
    <row r="430" spans="2:14" ht="43.5" customHeight="1" x14ac:dyDescent="0.35">
      <c r="B430" s="20" t="s">
        <v>25</v>
      </c>
      <c r="C430" s="20" t="s">
        <v>301</v>
      </c>
      <c r="D430" s="20" t="s">
        <v>513</v>
      </c>
      <c r="E430" s="20" t="s">
        <v>514</v>
      </c>
      <c r="F430" s="20" t="s">
        <v>521</v>
      </c>
      <c r="G430" s="20" t="s">
        <v>522</v>
      </c>
      <c r="H430" s="20" t="s">
        <v>517</v>
      </c>
      <c r="I430" s="21" t="s">
        <v>32</v>
      </c>
      <c r="J430" s="22" t="s">
        <v>33</v>
      </c>
      <c r="K430" s="23">
        <f>L430/1.22*1</f>
        <v>695.08196721311481</v>
      </c>
      <c r="L430" s="26">
        <v>848</v>
      </c>
      <c r="M430" s="25">
        <v>122</v>
      </c>
      <c r="N430" s="25">
        <f t="shared" si="6"/>
        <v>148.84</v>
      </c>
    </row>
    <row r="431" spans="2:14" ht="43.5" customHeight="1" x14ac:dyDescent="0.35">
      <c r="B431" s="20" t="s">
        <v>25</v>
      </c>
      <c r="C431" s="20" t="s">
        <v>301</v>
      </c>
      <c r="D431" s="20" t="s">
        <v>523</v>
      </c>
      <c r="E431" s="20" t="s">
        <v>514</v>
      </c>
      <c r="F431" s="20" t="s">
        <v>524</v>
      </c>
      <c r="G431" s="20" t="s">
        <v>525</v>
      </c>
      <c r="H431" s="20" t="s">
        <v>517</v>
      </c>
      <c r="I431" s="21" t="s">
        <v>32</v>
      </c>
      <c r="J431" s="22" t="s">
        <v>33</v>
      </c>
      <c r="K431" s="23">
        <f>L431/1.22*1</f>
        <v>734.42622950819668</v>
      </c>
      <c r="L431" s="26">
        <v>896</v>
      </c>
      <c r="M431" s="25">
        <v>346.59</v>
      </c>
      <c r="N431" s="25">
        <f t="shared" si="6"/>
        <v>422.83979999999997</v>
      </c>
    </row>
    <row r="432" spans="2:14" ht="43.5" customHeight="1" x14ac:dyDescent="0.35">
      <c r="B432" s="20" t="s">
        <v>25</v>
      </c>
      <c r="C432" s="20" t="s">
        <v>301</v>
      </c>
      <c r="D432" s="20" t="s">
        <v>513</v>
      </c>
      <c r="E432" s="20" t="s">
        <v>514</v>
      </c>
      <c r="F432" s="20" t="s">
        <v>526</v>
      </c>
      <c r="G432" s="20" t="s">
        <v>525</v>
      </c>
      <c r="H432" s="20" t="s">
        <v>517</v>
      </c>
      <c r="I432" s="21" t="s">
        <v>32</v>
      </c>
      <c r="J432" s="22" t="s">
        <v>33</v>
      </c>
      <c r="K432" s="23">
        <f>L432/1.22*1</f>
        <v>718.85245901639348</v>
      </c>
      <c r="L432" s="26">
        <v>877</v>
      </c>
      <c r="M432" s="25">
        <v>295.77</v>
      </c>
      <c r="N432" s="25">
        <f t="shared" si="6"/>
        <v>360.83939999999996</v>
      </c>
    </row>
    <row r="433" spans="2:14" ht="43.5" customHeight="1" x14ac:dyDescent="0.35">
      <c r="B433" s="20" t="s">
        <v>25</v>
      </c>
      <c r="C433" s="20" t="s">
        <v>301</v>
      </c>
      <c r="D433" s="20" t="s">
        <v>527</v>
      </c>
      <c r="E433" s="20" t="s">
        <v>528</v>
      </c>
      <c r="F433" s="20" t="s">
        <v>529</v>
      </c>
      <c r="G433" s="20" t="s">
        <v>530</v>
      </c>
      <c r="H433" s="20" t="s">
        <v>531</v>
      </c>
      <c r="I433" s="21" t="s">
        <v>32</v>
      </c>
      <c r="J433" s="22" t="s">
        <v>33</v>
      </c>
      <c r="K433" s="23">
        <f>L433/1.22*1</f>
        <v>832.78688524590166</v>
      </c>
      <c r="L433" s="26">
        <v>1016</v>
      </c>
      <c r="M433" s="25">
        <v>414.63</v>
      </c>
      <c r="N433" s="25">
        <f t="shared" si="6"/>
        <v>505.84859999999998</v>
      </c>
    </row>
    <row r="434" spans="2:14" ht="43.5" customHeight="1" x14ac:dyDescent="0.35">
      <c r="B434" s="20" t="s">
        <v>25</v>
      </c>
      <c r="C434" s="20" t="s">
        <v>532</v>
      </c>
      <c r="D434" s="20" t="s">
        <v>533</v>
      </c>
      <c r="E434" s="20" t="s">
        <v>534</v>
      </c>
      <c r="F434" s="20" t="s">
        <v>535</v>
      </c>
      <c r="G434" s="20" t="s">
        <v>278</v>
      </c>
      <c r="H434" s="20" t="s">
        <v>536</v>
      </c>
      <c r="I434" s="21" t="s">
        <v>32</v>
      </c>
      <c r="J434" s="22" t="s">
        <v>33</v>
      </c>
      <c r="K434" s="23">
        <f>L434/1.22*1</f>
        <v>467.2131147540984</v>
      </c>
      <c r="L434" s="26">
        <v>570</v>
      </c>
      <c r="M434" s="25">
        <v>552.33000000000004</v>
      </c>
      <c r="N434" s="25">
        <f t="shared" si="6"/>
        <v>673.84260000000006</v>
      </c>
    </row>
    <row r="435" spans="2:14" ht="43.5" customHeight="1" x14ac:dyDescent="0.35">
      <c r="B435" s="20" t="s">
        <v>25</v>
      </c>
      <c r="C435" s="20" t="s">
        <v>532</v>
      </c>
      <c r="D435" s="20" t="s">
        <v>537</v>
      </c>
      <c r="E435" s="20" t="s">
        <v>538</v>
      </c>
      <c r="F435" s="20" t="s">
        <v>539</v>
      </c>
      <c r="G435" s="20" t="s">
        <v>278</v>
      </c>
      <c r="H435" s="20" t="s">
        <v>536</v>
      </c>
      <c r="I435" s="21" t="s">
        <v>32</v>
      </c>
      <c r="J435" s="22" t="s">
        <v>33</v>
      </c>
      <c r="K435" s="23">
        <f>L435/1.22*1</f>
        <v>614.7540983606558</v>
      </c>
      <c r="L435" s="26">
        <v>750</v>
      </c>
      <c r="M435" s="25">
        <v>439.22</v>
      </c>
      <c r="N435" s="25">
        <f t="shared" si="6"/>
        <v>535.84839999999997</v>
      </c>
    </row>
    <row r="436" spans="2:14" ht="43.5" customHeight="1" x14ac:dyDescent="0.35">
      <c r="B436" s="20" t="s">
        <v>25</v>
      </c>
      <c r="C436" s="20" t="s">
        <v>532</v>
      </c>
      <c r="D436" s="20" t="s">
        <v>540</v>
      </c>
      <c r="E436" s="20" t="s">
        <v>541</v>
      </c>
      <c r="F436" s="20" t="s">
        <v>542</v>
      </c>
      <c r="G436" s="20" t="s">
        <v>278</v>
      </c>
      <c r="H436" s="20" t="s">
        <v>536</v>
      </c>
      <c r="I436" s="21" t="s">
        <v>32</v>
      </c>
      <c r="J436" s="22" t="s">
        <v>33</v>
      </c>
      <c r="K436" s="23">
        <f>L436/1.22*1</f>
        <v>404.91803278688525</v>
      </c>
      <c r="L436" s="26">
        <v>494</v>
      </c>
      <c r="M436" s="25">
        <v>242.5</v>
      </c>
      <c r="N436" s="25">
        <f t="shared" si="6"/>
        <v>295.84999999999997</v>
      </c>
    </row>
    <row r="437" spans="2:14" ht="43.5" customHeight="1" x14ac:dyDescent="0.35">
      <c r="B437" s="20" t="s">
        <v>25</v>
      </c>
      <c r="C437" s="20" t="s">
        <v>532</v>
      </c>
      <c r="D437" s="20" t="s">
        <v>543</v>
      </c>
      <c r="E437" s="20" t="s">
        <v>544</v>
      </c>
      <c r="F437" s="20" t="s">
        <v>545</v>
      </c>
      <c r="G437" s="20" t="s">
        <v>278</v>
      </c>
      <c r="H437" s="20" t="s">
        <v>536</v>
      </c>
      <c r="I437" s="21" t="s">
        <v>32</v>
      </c>
      <c r="J437" s="22" t="s">
        <v>33</v>
      </c>
      <c r="K437" s="23">
        <f>L437/1.22*1</f>
        <v>626.22950819672133</v>
      </c>
      <c r="L437" s="26">
        <v>764</v>
      </c>
      <c r="M437" s="25">
        <v>561.35</v>
      </c>
      <c r="N437" s="25">
        <f t="shared" si="6"/>
        <v>684.84699999999998</v>
      </c>
    </row>
    <row r="438" spans="2:14" ht="43.5" customHeight="1" x14ac:dyDescent="0.35">
      <c r="B438" s="20" t="s">
        <v>25</v>
      </c>
      <c r="C438" s="20" t="s">
        <v>532</v>
      </c>
      <c r="D438" s="20" t="s">
        <v>543</v>
      </c>
      <c r="E438" s="20" t="s">
        <v>546</v>
      </c>
      <c r="F438" s="20" t="s">
        <v>547</v>
      </c>
      <c r="G438" s="20" t="s">
        <v>278</v>
      </c>
      <c r="H438" s="20" t="s">
        <v>536</v>
      </c>
      <c r="I438" s="21" t="s">
        <v>32</v>
      </c>
      <c r="J438" s="22" t="s">
        <v>33</v>
      </c>
      <c r="K438" s="23">
        <f>L438/1.22*1</f>
        <v>430.32786885245901</v>
      </c>
      <c r="L438" s="26">
        <v>525</v>
      </c>
      <c r="M438" s="25">
        <v>204.79</v>
      </c>
      <c r="N438" s="25">
        <f t="shared" si="6"/>
        <v>249.84379999999999</v>
      </c>
    </row>
    <row r="439" spans="2:14" ht="43.5" customHeight="1" x14ac:dyDescent="0.35">
      <c r="B439" s="20" t="s">
        <v>25</v>
      </c>
      <c r="C439" s="20" t="s">
        <v>532</v>
      </c>
      <c r="D439" s="20" t="s">
        <v>548</v>
      </c>
      <c r="E439" s="20" t="s">
        <v>549</v>
      </c>
      <c r="F439" s="20" t="s">
        <v>550</v>
      </c>
      <c r="G439" s="20" t="s">
        <v>278</v>
      </c>
      <c r="H439" s="20" t="s">
        <v>536</v>
      </c>
      <c r="I439" s="21" t="s">
        <v>32</v>
      </c>
      <c r="J439" s="22" t="s">
        <v>33</v>
      </c>
      <c r="K439" s="23">
        <f>L439/1.22*1</f>
        <v>503.27868852459017</v>
      </c>
      <c r="L439" s="26">
        <v>614</v>
      </c>
      <c r="M439" s="25">
        <v>458.07</v>
      </c>
      <c r="N439" s="25">
        <f t="shared" si="6"/>
        <v>558.84539999999993</v>
      </c>
    </row>
    <row r="440" spans="2:14" ht="43.5" customHeight="1" x14ac:dyDescent="0.35">
      <c r="B440" s="20" t="s">
        <v>25</v>
      </c>
      <c r="C440" s="20" t="s">
        <v>532</v>
      </c>
      <c r="D440" s="20" t="s">
        <v>551</v>
      </c>
      <c r="E440" s="20" t="s">
        <v>552</v>
      </c>
      <c r="F440" s="20" t="s">
        <v>553</v>
      </c>
      <c r="G440" s="20" t="s">
        <v>278</v>
      </c>
      <c r="H440" s="20" t="s">
        <v>536</v>
      </c>
      <c r="I440" s="21" t="s">
        <v>32</v>
      </c>
      <c r="J440" s="22" t="s">
        <v>33</v>
      </c>
      <c r="K440" s="23">
        <f>L440/1.22*1</f>
        <v>541.80327868852464</v>
      </c>
      <c r="L440" s="26">
        <v>661</v>
      </c>
      <c r="M440" s="25">
        <v>417.91</v>
      </c>
      <c r="N440" s="25">
        <f t="shared" si="6"/>
        <v>509.85020000000003</v>
      </c>
    </row>
    <row r="441" spans="2:14" ht="43.5" customHeight="1" x14ac:dyDescent="0.35">
      <c r="B441" s="20" t="s">
        <v>25</v>
      </c>
      <c r="C441" s="20" t="s">
        <v>532</v>
      </c>
      <c r="D441" s="20" t="s">
        <v>554</v>
      </c>
      <c r="E441" s="20" t="s">
        <v>555</v>
      </c>
      <c r="F441" s="20" t="s">
        <v>556</v>
      </c>
      <c r="G441" s="20" t="s">
        <v>278</v>
      </c>
      <c r="H441" s="20" t="s">
        <v>536</v>
      </c>
      <c r="I441" s="21" t="s">
        <v>32</v>
      </c>
      <c r="J441" s="22" t="s">
        <v>33</v>
      </c>
      <c r="K441" s="23">
        <f>L441/1.22*1</f>
        <v>453.27868852459017</v>
      </c>
      <c r="L441" s="26">
        <v>553</v>
      </c>
      <c r="M441" s="25">
        <v>405.61</v>
      </c>
      <c r="N441" s="25">
        <f t="shared" si="6"/>
        <v>494.8442</v>
      </c>
    </row>
    <row r="442" spans="2:14" ht="43.5" customHeight="1" x14ac:dyDescent="0.35">
      <c r="B442" s="20" t="s">
        <v>25</v>
      </c>
      <c r="C442" s="20" t="s">
        <v>532</v>
      </c>
      <c r="D442" s="20" t="s">
        <v>557</v>
      </c>
      <c r="E442" s="20" t="s">
        <v>558</v>
      </c>
      <c r="F442" s="20" t="s">
        <v>559</v>
      </c>
      <c r="G442" s="20" t="s">
        <v>278</v>
      </c>
      <c r="H442" s="20" t="s">
        <v>536</v>
      </c>
      <c r="I442" s="21" t="s">
        <v>32</v>
      </c>
      <c r="J442" s="22" t="s">
        <v>33</v>
      </c>
      <c r="K442" s="23">
        <f>L442/1.22*1</f>
        <v>458.19672131147541</v>
      </c>
      <c r="L442" s="26">
        <v>559</v>
      </c>
      <c r="M442" s="25">
        <v>318.72000000000003</v>
      </c>
      <c r="N442" s="25">
        <f t="shared" si="6"/>
        <v>388.83840000000004</v>
      </c>
    </row>
    <row r="443" spans="2:14" ht="43.5" customHeight="1" x14ac:dyDescent="0.35">
      <c r="B443" s="20" t="s">
        <v>25</v>
      </c>
      <c r="C443" s="20" t="s">
        <v>532</v>
      </c>
      <c r="D443" s="20" t="s">
        <v>560</v>
      </c>
      <c r="E443" s="20" t="s">
        <v>561</v>
      </c>
      <c r="F443" s="20" t="s">
        <v>562</v>
      </c>
      <c r="G443" s="20" t="s">
        <v>278</v>
      </c>
      <c r="H443" s="20" t="s">
        <v>536</v>
      </c>
      <c r="I443" s="21" t="s">
        <v>32</v>
      </c>
      <c r="J443" s="22" t="s">
        <v>33</v>
      </c>
      <c r="K443" s="23">
        <f>L443/1.22*1</f>
        <v>523.77049180327867</v>
      </c>
      <c r="L443" s="26">
        <v>639</v>
      </c>
      <c r="M443" s="25">
        <v>358.89</v>
      </c>
      <c r="N443" s="25">
        <f t="shared" si="6"/>
        <v>437.8458</v>
      </c>
    </row>
    <row r="444" spans="2:14" ht="43.5" customHeight="1" x14ac:dyDescent="0.35">
      <c r="B444" s="20" t="s">
        <v>25</v>
      </c>
      <c r="C444" s="20" t="s">
        <v>532</v>
      </c>
      <c r="D444" s="20" t="s">
        <v>563</v>
      </c>
      <c r="E444" s="20" t="s">
        <v>564</v>
      </c>
      <c r="F444" s="20" t="s">
        <v>565</v>
      </c>
      <c r="G444" s="20" t="s">
        <v>278</v>
      </c>
      <c r="H444" s="20" t="s">
        <v>536</v>
      </c>
      <c r="I444" s="21" t="s">
        <v>32</v>
      </c>
      <c r="J444" s="22" t="s">
        <v>33</v>
      </c>
      <c r="K444" s="23">
        <f>L444/1.22*1</f>
        <v>531.14754098360652</v>
      </c>
      <c r="L444" s="26">
        <v>648</v>
      </c>
      <c r="M444" s="25">
        <v>484.3</v>
      </c>
      <c r="N444" s="25">
        <f t="shared" si="6"/>
        <v>590.846</v>
      </c>
    </row>
    <row r="445" spans="2:14" ht="43.5" customHeight="1" x14ac:dyDescent="0.35">
      <c r="B445" s="20" t="s">
        <v>25</v>
      </c>
      <c r="C445" s="20" t="s">
        <v>532</v>
      </c>
      <c r="D445" s="20" t="s">
        <v>566</v>
      </c>
      <c r="E445" s="20" t="s">
        <v>567</v>
      </c>
      <c r="F445" s="20" t="s">
        <v>568</v>
      </c>
      <c r="G445" s="20" t="s">
        <v>278</v>
      </c>
      <c r="H445" s="20" t="s">
        <v>536</v>
      </c>
      <c r="I445" s="21" t="s">
        <v>32</v>
      </c>
      <c r="J445" s="22" t="s">
        <v>33</v>
      </c>
      <c r="K445" s="23">
        <f>L445/1.22*1</f>
        <v>557.37704918032784</v>
      </c>
      <c r="L445" s="26">
        <v>680</v>
      </c>
      <c r="M445" s="25">
        <v>368.72</v>
      </c>
      <c r="N445" s="25">
        <f t="shared" si="6"/>
        <v>449.83840000000004</v>
      </c>
    </row>
    <row r="446" spans="2:14" ht="43.5" customHeight="1" x14ac:dyDescent="0.35">
      <c r="B446" s="20" t="s">
        <v>25</v>
      </c>
      <c r="C446" s="20" t="s">
        <v>532</v>
      </c>
      <c r="D446" s="20" t="s">
        <v>569</v>
      </c>
      <c r="E446" s="20" t="s">
        <v>570</v>
      </c>
      <c r="F446" s="20" t="s">
        <v>571</v>
      </c>
      <c r="G446" s="20" t="s">
        <v>278</v>
      </c>
      <c r="H446" s="20" t="s">
        <v>536</v>
      </c>
      <c r="I446" s="21" t="s">
        <v>32</v>
      </c>
      <c r="J446" s="22" t="s">
        <v>33</v>
      </c>
      <c r="K446" s="23">
        <f>L446/1.22*1</f>
        <v>342.62295081967216</v>
      </c>
      <c r="L446" s="26">
        <v>418</v>
      </c>
      <c r="M446" s="25">
        <v>328.56</v>
      </c>
      <c r="N446" s="25">
        <f t="shared" si="6"/>
        <v>400.84319999999997</v>
      </c>
    </row>
    <row r="447" spans="2:14" ht="43.5" customHeight="1" x14ac:dyDescent="0.35">
      <c r="B447" s="20" t="s">
        <v>25</v>
      </c>
      <c r="C447" s="20" t="s">
        <v>532</v>
      </c>
      <c r="D447" s="20" t="s">
        <v>572</v>
      </c>
      <c r="E447" s="20" t="s">
        <v>573</v>
      </c>
      <c r="F447" s="20" t="s">
        <v>574</v>
      </c>
      <c r="G447" s="20" t="s">
        <v>278</v>
      </c>
      <c r="H447" s="20" t="s">
        <v>536</v>
      </c>
      <c r="I447" s="21" t="s">
        <v>32</v>
      </c>
      <c r="J447" s="22" t="s">
        <v>33</v>
      </c>
      <c r="K447" s="23">
        <f>L447/1.22*1</f>
        <v>404.91803278688525</v>
      </c>
      <c r="L447" s="26">
        <v>494</v>
      </c>
      <c r="M447" s="25">
        <v>417.91</v>
      </c>
      <c r="N447" s="25">
        <f t="shared" si="6"/>
        <v>509.85020000000003</v>
      </c>
    </row>
    <row r="448" spans="2:14" ht="43.5" customHeight="1" x14ac:dyDescent="0.35">
      <c r="B448" s="20" t="s">
        <v>25</v>
      </c>
      <c r="C448" s="20" t="s">
        <v>532</v>
      </c>
      <c r="D448" s="20" t="s">
        <v>575</v>
      </c>
      <c r="E448" s="20" t="s">
        <v>576</v>
      </c>
      <c r="F448" s="20" t="s">
        <v>577</v>
      </c>
      <c r="G448" s="20" t="s">
        <v>278</v>
      </c>
      <c r="H448" s="20" t="s">
        <v>536</v>
      </c>
      <c r="I448" s="21" t="s">
        <v>32</v>
      </c>
      <c r="J448" s="22" t="s">
        <v>33</v>
      </c>
      <c r="K448" s="23">
        <f>L448/1.22*1</f>
        <v>443.44262295081967</v>
      </c>
      <c r="L448" s="26">
        <v>541</v>
      </c>
      <c r="M448" s="25">
        <v>294.95</v>
      </c>
      <c r="N448" s="25">
        <f t="shared" si="6"/>
        <v>359.839</v>
      </c>
    </row>
    <row r="449" spans="2:14" ht="43.5" customHeight="1" x14ac:dyDescent="0.35">
      <c r="B449" s="20" t="s">
        <v>25</v>
      </c>
      <c r="C449" s="20" t="s">
        <v>532</v>
      </c>
      <c r="D449" s="20" t="s">
        <v>578</v>
      </c>
      <c r="E449" s="20" t="s">
        <v>579</v>
      </c>
      <c r="F449" s="20" t="s">
        <v>580</v>
      </c>
      <c r="G449" s="20" t="s">
        <v>278</v>
      </c>
      <c r="H449" s="20" t="s">
        <v>536</v>
      </c>
      <c r="I449" s="21" t="s">
        <v>32</v>
      </c>
      <c r="J449" s="22" t="s">
        <v>33</v>
      </c>
      <c r="K449" s="23">
        <f>L449/1.22*1</f>
        <v>395.08196721311475</v>
      </c>
      <c r="L449" s="26">
        <v>482</v>
      </c>
      <c r="M449" s="25">
        <v>225.28</v>
      </c>
      <c r="N449" s="25">
        <f t="shared" si="6"/>
        <v>274.84159999999997</v>
      </c>
    </row>
    <row r="450" spans="2:14" ht="43.5" customHeight="1" x14ac:dyDescent="0.35">
      <c r="B450" s="20" t="s">
        <v>25</v>
      </c>
      <c r="C450" s="20" t="s">
        <v>532</v>
      </c>
      <c r="D450" s="20" t="s">
        <v>581</v>
      </c>
      <c r="E450" s="20" t="s">
        <v>582</v>
      </c>
      <c r="F450" s="20" t="s">
        <v>583</v>
      </c>
      <c r="G450" s="20" t="s">
        <v>278</v>
      </c>
      <c r="H450" s="20" t="s">
        <v>536</v>
      </c>
      <c r="I450" s="21" t="s">
        <v>32</v>
      </c>
      <c r="J450" s="22" t="s">
        <v>33</v>
      </c>
      <c r="K450" s="23">
        <f>L450/1.22*1</f>
        <v>495.08196721311475</v>
      </c>
      <c r="L450" s="26">
        <v>604</v>
      </c>
      <c r="M450" s="25">
        <v>436.76</v>
      </c>
      <c r="N450" s="25">
        <f t="shared" si="6"/>
        <v>532.84719999999993</v>
      </c>
    </row>
    <row r="451" spans="2:14" ht="43.5" customHeight="1" x14ac:dyDescent="0.35">
      <c r="B451" s="20" t="s">
        <v>25</v>
      </c>
      <c r="C451" s="20" t="s">
        <v>532</v>
      </c>
      <c r="D451" s="20" t="s">
        <v>584</v>
      </c>
      <c r="E451" s="20" t="s">
        <v>585</v>
      </c>
      <c r="F451" s="20" t="s">
        <v>586</v>
      </c>
      <c r="G451" s="20" t="s">
        <v>278</v>
      </c>
      <c r="H451" s="20" t="s">
        <v>536</v>
      </c>
      <c r="I451" s="21" t="s">
        <v>32</v>
      </c>
      <c r="J451" s="22" t="s">
        <v>33</v>
      </c>
      <c r="K451" s="23">
        <f>L451/1.22*1</f>
        <v>426.22950819672133</v>
      </c>
      <c r="L451" s="26">
        <v>520</v>
      </c>
      <c r="M451" s="25">
        <v>194.95</v>
      </c>
      <c r="N451" s="25">
        <f t="shared" si="6"/>
        <v>237.83899999999997</v>
      </c>
    </row>
    <row r="452" spans="2:14" ht="43.5" customHeight="1" x14ac:dyDescent="0.35">
      <c r="B452" s="20" t="s">
        <v>25</v>
      </c>
      <c r="C452" s="20" t="s">
        <v>532</v>
      </c>
      <c r="D452" s="20" t="s">
        <v>587</v>
      </c>
      <c r="E452" s="20" t="s">
        <v>588</v>
      </c>
      <c r="F452" s="20" t="s">
        <v>589</v>
      </c>
      <c r="G452" s="20" t="s">
        <v>278</v>
      </c>
      <c r="H452" s="20" t="s">
        <v>536</v>
      </c>
      <c r="I452" s="21" t="s">
        <v>32</v>
      </c>
      <c r="J452" s="22" t="s">
        <v>33</v>
      </c>
      <c r="K452" s="23">
        <f>L452/1.22*1</f>
        <v>497.5409836065574</v>
      </c>
      <c r="L452" s="26">
        <v>607</v>
      </c>
      <c r="M452" s="25">
        <v>353.97</v>
      </c>
      <c r="N452" s="25">
        <f t="shared" si="6"/>
        <v>431.84340000000003</v>
      </c>
    </row>
    <row r="453" spans="2:14" ht="43.5" customHeight="1" x14ac:dyDescent="0.35">
      <c r="B453" s="20" t="s">
        <v>25</v>
      </c>
      <c r="C453" s="20" t="s">
        <v>532</v>
      </c>
      <c r="D453" s="20" t="s">
        <v>590</v>
      </c>
      <c r="E453" s="20" t="s">
        <v>591</v>
      </c>
      <c r="F453" s="20" t="s">
        <v>592</v>
      </c>
      <c r="G453" s="20" t="s">
        <v>278</v>
      </c>
      <c r="H453" s="20" t="s">
        <v>536</v>
      </c>
      <c r="I453" s="21" t="s">
        <v>32</v>
      </c>
      <c r="J453" s="22" t="s">
        <v>33</v>
      </c>
      <c r="K453" s="23">
        <f>L453/1.22*1</f>
        <v>459.8360655737705</v>
      </c>
      <c r="L453" s="26">
        <v>561</v>
      </c>
      <c r="M453" s="25">
        <v>212.99</v>
      </c>
      <c r="N453" s="25">
        <f t="shared" si="6"/>
        <v>259.84780000000001</v>
      </c>
    </row>
    <row r="454" spans="2:14" ht="43.5" customHeight="1" x14ac:dyDescent="0.35">
      <c r="B454" s="20" t="s">
        <v>25</v>
      </c>
      <c r="C454" s="20" t="s">
        <v>532</v>
      </c>
      <c r="D454" s="20" t="s">
        <v>593</v>
      </c>
      <c r="E454" s="20" t="s">
        <v>594</v>
      </c>
      <c r="F454" s="20" t="s">
        <v>595</v>
      </c>
      <c r="G454" s="20" t="s">
        <v>278</v>
      </c>
      <c r="H454" s="20" t="s">
        <v>536</v>
      </c>
      <c r="I454" s="21" t="s">
        <v>32</v>
      </c>
      <c r="J454" s="22" t="s">
        <v>33</v>
      </c>
      <c r="K454" s="23">
        <f>L454/1.22*1</f>
        <v>467.2131147540984</v>
      </c>
      <c r="L454" s="26">
        <v>570</v>
      </c>
      <c r="M454" s="25">
        <v>175.28</v>
      </c>
      <c r="N454" s="25">
        <f t="shared" si="6"/>
        <v>213.8416</v>
      </c>
    </row>
    <row r="455" spans="2:14" ht="43.5" customHeight="1" x14ac:dyDescent="0.35">
      <c r="B455" s="20" t="s">
        <v>25</v>
      </c>
      <c r="C455" s="20" t="s">
        <v>532</v>
      </c>
      <c r="D455" s="20" t="s">
        <v>596</v>
      </c>
      <c r="E455" s="20" t="s">
        <v>597</v>
      </c>
      <c r="F455" s="20" t="s">
        <v>598</v>
      </c>
      <c r="G455" s="20" t="s">
        <v>278</v>
      </c>
      <c r="H455" s="20" t="s">
        <v>536</v>
      </c>
      <c r="I455" s="21" t="s">
        <v>32</v>
      </c>
      <c r="J455" s="22" t="s">
        <v>33</v>
      </c>
      <c r="K455" s="23">
        <f>L455/1.22*1</f>
        <v>474.59016393442624</v>
      </c>
      <c r="L455" s="26">
        <v>579</v>
      </c>
      <c r="M455" s="25">
        <v>146.59</v>
      </c>
      <c r="N455" s="25">
        <f t="shared" si="6"/>
        <v>178.8398</v>
      </c>
    </row>
    <row r="456" spans="2:14" ht="43.5" customHeight="1" x14ac:dyDescent="0.35">
      <c r="B456" s="20" t="s">
        <v>25</v>
      </c>
      <c r="C456" s="20" t="s">
        <v>532</v>
      </c>
      <c r="D456" s="20" t="s">
        <v>599</v>
      </c>
      <c r="E456" s="20" t="s">
        <v>600</v>
      </c>
      <c r="F456" s="20" t="s">
        <v>601</v>
      </c>
      <c r="G456" s="20" t="s">
        <v>278</v>
      </c>
      <c r="H456" s="20" t="s">
        <v>536</v>
      </c>
      <c r="I456" s="21" t="s">
        <v>32</v>
      </c>
      <c r="J456" s="22" t="s">
        <v>33</v>
      </c>
      <c r="K456" s="23">
        <f>L456/1.22*1</f>
        <v>425.40983606557376</v>
      </c>
      <c r="L456" s="26">
        <v>519</v>
      </c>
      <c r="M456" s="25">
        <v>162.16999999999999</v>
      </c>
      <c r="N456" s="25">
        <f t="shared" si="6"/>
        <v>197.84739999999999</v>
      </c>
    </row>
    <row r="457" spans="2:14" ht="43.5" customHeight="1" x14ac:dyDescent="0.35">
      <c r="B457" s="20" t="s">
        <v>25</v>
      </c>
      <c r="C457" s="20" t="s">
        <v>532</v>
      </c>
      <c r="D457" s="20" t="s">
        <v>602</v>
      </c>
      <c r="E457" s="20" t="s">
        <v>603</v>
      </c>
      <c r="F457" s="20" t="s">
        <v>604</v>
      </c>
      <c r="G457" s="20" t="s">
        <v>278</v>
      </c>
      <c r="H457" s="20" t="s">
        <v>536</v>
      </c>
      <c r="I457" s="21" t="s">
        <v>32</v>
      </c>
      <c r="J457" s="22" t="s">
        <v>33</v>
      </c>
      <c r="K457" s="23">
        <f>L457/1.22*1</f>
        <v>354.09836065573774</v>
      </c>
      <c r="L457" s="26">
        <v>432</v>
      </c>
      <c r="M457" s="25">
        <v>349.05</v>
      </c>
      <c r="N457" s="25">
        <f t="shared" si="6"/>
        <v>425.84100000000001</v>
      </c>
    </row>
    <row r="458" spans="2:14" ht="43.5" customHeight="1" x14ac:dyDescent="0.35">
      <c r="B458" s="20" t="s">
        <v>25</v>
      </c>
      <c r="C458" s="20" t="s">
        <v>532</v>
      </c>
      <c r="D458" s="20" t="s">
        <v>605</v>
      </c>
      <c r="E458" s="20" t="s">
        <v>606</v>
      </c>
      <c r="F458" s="20" t="s">
        <v>607</v>
      </c>
      <c r="G458" s="20" t="s">
        <v>278</v>
      </c>
      <c r="H458" s="20" t="s">
        <v>536</v>
      </c>
      <c r="I458" s="21" t="s">
        <v>32</v>
      </c>
      <c r="J458" s="22" t="s">
        <v>33</v>
      </c>
      <c r="K458" s="23">
        <f>L458/1.22*1</f>
        <v>346.72131147540983</v>
      </c>
      <c r="L458" s="26">
        <v>423</v>
      </c>
      <c r="M458" s="25">
        <v>280.2</v>
      </c>
      <c r="N458" s="25">
        <f t="shared" ref="N458:N521" si="7">M458*1.22</f>
        <v>341.84399999999999</v>
      </c>
    </row>
    <row r="459" spans="2:14" ht="43.5" customHeight="1" x14ac:dyDescent="0.35">
      <c r="B459" s="20" t="s">
        <v>25</v>
      </c>
      <c r="C459" s="20" t="s">
        <v>532</v>
      </c>
      <c r="D459" s="20" t="s">
        <v>608</v>
      </c>
      <c r="E459" s="20" t="s">
        <v>609</v>
      </c>
      <c r="F459" s="20" t="s">
        <v>610</v>
      </c>
      <c r="G459" s="20" t="s">
        <v>278</v>
      </c>
      <c r="H459" s="20" t="s">
        <v>536</v>
      </c>
      <c r="I459" s="21" t="s">
        <v>32</v>
      </c>
      <c r="J459" s="22" t="s">
        <v>33</v>
      </c>
      <c r="K459" s="23">
        <f>L459/1.22*1</f>
        <v>325.40983606557376</v>
      </c>
      <c r="L459" s="26">
        <v>397</v>
      </c>
      <c r="M459" s="25">
        <v>452.33</v>
      </c>
      <c r="N459" s="25">
        <f t="shared" si="7"/>
        <v>551.84259999999995</v>
      </c>
    </row>
    <row r="460" spans="2:14" ht="43.5" customHeight="1" x14ac:dyDescent="0.35">
      <c r="B460" s="20" t="s">
        <v>25</v>
      </c>
      <c r="C460" s="20" t="s">
        <v>532</v>
      </c>
      <c r="D460" s="20" t="s">
        <v>611</v>
      </c>
      <c r="E460" s="20" t="s">
        <v>612</v>
      </c>
      <c r="F460" s="20" t="s">
        <v>613</v>
      </c>
      <c r="G460" s="20" t="s">
        <v>278</v>
      </c>
      <c r="H460" s="20" t="s">
        <v>536</v>
      </c>
      <c r="I460" s="21" t="s">
        <v>32</v>
      </c>
      <c r="J460" s="22" t="s">
        <v>33</v>
      </c>
      <c r="K460" s="23">
        <f>L460/1.22*1</f>
        <v>459.8360655737705</v>
      </c>
      <c r="L460" s="26">
        <v>561</v>
      </c>
      <c r="M460" s="25">
        <v>883.48</v>
      </c>
      <c r="N460" s="25">
        <f t="shared" si="7"/>
        <v>1077.8456000000001</v>
      </c>
    </row>
    <row r="461" spans="2:14" ht="43.5" customHeight="1" x14ac:dyDescent="0.35">
      <c r="B461" s="20" t="s">
        <v>25</v>
      </c>
      <c r="C461" s="20" t="s">
        <v>532</v>
      </c>
      <c r="D461" s="20" t="s">
        <v>614</v>
      </c>
      <c r="E461" s="20" t="s">
        <v>615</v>
      </c>
      <c r="F461" s="20" t="s">
        <v>616</v>
      </c>
      <c r="G461" s="20" t="s">
        <v>278</v>
      </c>
      <c r="H461" s="20" t="s">
        <v>536</v>
      </c>
      <c r="I461" s="21" t="s">
        <v>32</v>
      </c>
      <c r="J461" s="22" t="s">
        <v>33</v>
      </c>
      <c r="K461" s="23">
        <f>L461/1.22*1</f>
        <v>527.86885245901635</v>
      </c>
      <c r="L461" s="26">
        <v>644</v>
      </c>
      <c r="M461" s="25">
        <v>299.87</v>
      </c>
      <c r="N461" s="25">
        <f t="shared" si="7"/>
        <v>365.84140000000002</v>
      </c>
    </row>
    <row r="462" spans="2:14" ht="43.5" customHeight="1" x14ac:dyDescent="0.35">
      <c r="B462" s="20" t="s">
        <v>25</v>
      </c>
      <c r="C462" s="20" t="s">
        <v>532</v>
      </c>
      <c r="D462" s="20" t="s">
        <v>617</v>
      </c>
      <c r="E462" s="20" t="s">
        <v>618</v>
      </c>
      <c r="F462" s="20" t="s">
        <v>619</v>
      </c>
      <c r="G462" s="20" t="s">
        <v>278</v>
      </c>
      <c r="H462" s="20" t="s">
        <v>536</v>
      </c>
      <c r="I462" s="21" t="s">
        <v>32</v>
      </c>
      <c r="J462" s="22" t="s">
        <v>33</v>
      </c>
      <c r="K462" s="23">
        <f>L462/1.22*1</f>
        <v>417.21311475409834</v>
      </c>
      <c r="L462" s="26">
        <v>509</v>
      </c>
      <c r="M462" s="25">
        <v>200.69</v>
      </c>
      <c r="N462" s="25">
        <f t="shared" si="7"/>
        <v>244.84179999999998</v>
      </c>
    </row>
    <row r="463" spans="2:14" ht="43.5" customHeight="1" x14ac:dyDescent="0.35">
      <c r="B463" s="20" t="s">
        <v>25</v>
      </c>
      <c r="C463" s="20" t="s">
        <v>532</v>
      </c>
      <c r="D463" s="20" t="s">
        <v>620</v>
      </c>
      <c r="E463" s="20" t="s">
        <v>621</v>
      </c>
      <c r="F463" s="20" t="s">
        <v>622</v>
      </c>
      <c r="G463" s="20" t="s">
        <v>278</v>
      </c>
      <c r="H463" s="20" t="s">
        <v>536</v>
      </c>
      <c r="I463" s="21" t="s">
        <v>32</v>
      </c>
      <c r="J463" s="22" t="s">
        <v>33</v>
      </c>
      <c r="K463" s="23">
        <f>L463/1.22*1</f>
        <v>472.13114754098359</v>
      </c>
      <c r="L463" s="26">
        <v>576</v>
      </c>
      <c r="M463" s="25">
        <v>281.83999999999997</v>
      </c>
      <c r="N463" s="25">
        <f t="shared" si="7"/>
        <v>343.84479999999996</v>
      </c>
    </row>
    <row r="464" spans="2:14" ht="43.5" customHeight="1" x14ac:dyDescent="0.35">
      <c r="B464" s="20" t="s">
        <v>25</v>
      </c>
      <c r="C464" s="20" t="s">
        <v>532</v>
      </c>
      <c r="D464" s="20" t="s">
        <v>623</v>
      </c>
      <c r="E464" s="20" t="s">
        <v>624</v>
      </c>
      <c r="F464" s="20" t="s">
        <v>625</v>
      </c>
      <c r="G464" s="20" t="s">
        <v>278</v>
      </c>
      <c r="H464" s="20" t="s">
        <v>536</v>
      </c>
      <c r="I464" s="21" t="s">
        <v>32</v>
      </c>
      <c r="J464" s="22" t="s">
        <v>33</v>
      </c>
      <c r="K464" s="23">
        <f>L464/1.22*1</f>
        <v>413.11475409836066</v>
      </c>
      <c r="L464" s="26">
        <v>504</v>
      </c>
      <c r="M464" s="25">
        <v>344.13</v>
      </c>
      <c r="N464" s="25">
        <f t="shared" si="7"/>
        <v>419.83859999999999</v>
      </c>
    </row>
    <row r="465" spans="2:14" ht="43.5" customHeight="1" x14ac:dyDescent="0.35">
      <c r="B465" s="20" t="s">
        <v>25</v>
      </c>
      <c r="C465" s="20" t="s">
        <v>532</v>
      </c>
      <c r="D465" s="20" t="s">
        <v>626</v>
      </c>
      <c r="E465" s="20" t="s">
        <v>627</v>
      </c>
      <c r="F465" s="20" t="s">
        <v>628</v>
      </c>
      <c r="G465" s="20" t="s">
        <v>278</v>
      </c>
      <c r="H465" s="20" t="s">
        <v>536</v>
      </c>
      <c r="I465" s="21" t="s">
        <v>32</v>
      </c>
      <c r="J465" s="22" t="s">
        <v>33</v>
      </c>
      <c r="K465" s="23">
        <f>L465/1.22*1</f>
        <v>543.44262295081967</v>
      </c>
      <c r="L465" s="26">
        <v>663</v>
      </c>
      <c r="M465" s="25">
        <v>214.63</v>
      </c>
      <c r="N465" s="25">
        <f t="shared" si="7"/>
        <v>261.84859999999998</v>
      </c>
    </row>
    <row r="466" spans="2:14" ht="43.5" customHeight="1" x14ac:dyDescent="0.35">
      <c r="B466" s="20" t="s">
        <v>25</v>
      </c>
      <c r="C466" s="20" t="s">
        <v>532</v>
      </c>
      <c r="D466" s="20" t="s">
        <v>629</v>
      </c>
      <c r="E466" s="20" t="s">
        <v>630</v>
      </c>
      <c r="F466" s="20" t="s">
        <v>631</v>
      </c>
      <c r="G466" s="20" t="s">
        <v>278</v>
      </c>
      <c r="H466" s="20" t="s">
        <v>536</v>
      </c>
      <c r="I466" s="21" t="s">
        <v>32</v>
      </c>
      <c r="J466" s="22" t="s">
        <v>33</v>
      </c>
      <c r="K466" s="23">
        <f>L466/1.22*1</f>
        <v>490.1639344262295</v>
      </c>
      <c r="L466" s="26">
        <v>598</v>
      </c>
      <c r="M466" s="25">
        <v>472.82</v>
      </c>
      <c r="N466" s="25">
        <f t="shared" si="7"/>
        <v>576.84039999999993</v>
      </c>
    </row>
    <row r="467" spans="2:14" ht="43.5" customHeight="1" x14ac:dyDescent="0.35">
      <c r="B467" s="20" t="s">
        <v>25</v>
      </c>
      <c r="C467" s="20" t="s">
        <v>532</v>
      </c>
      <c r="D467" s="20" t="s">
        <v>632</v>
      </c>
      <c r="E467" s="20" t="s">
        <v>633</v>
      </c>
      <c r="F467" s="20" t="s">
        <v>634</v>
      </c>
      <c r="G467" s="20" t="s">
        <v>278</v>
      </c>
      <c r="H467" s="20" t="s">
        <v>536</v>
      </c>
      <c r="I467" s="21" t="s">
        <v>32</v>
      </c>
      <c r="J467" s="22" t="s">
        <v>33</v>
      </c>
      <c r="K467" s="23">
        <f>L467/1.22*1</f>
        <v>512.29508196721315</v>
      </c>
      <c r="L467" s="26">
        <v>625</v>
      </c>
      <c r="M467" s="25">
        <v>613.80999999999995</v>
      </c>
      <c r="N467" s="25">
        <f t="shared" si="7"/>
        <v>748.84819999999991</v>
      </c>
    </row>
    <row r="468" spans="2:14" ht="43.5" customHeight="1" x14ac:dyDescent="0.35">
      <c r="B468" s="20" t="s">
        <v>25</v>
      </c>
      <c r="C468" s="20" t="s">
        <v>532</v>
      </c>
      <c r="D468" s="20" t="s">
        <v>635</v>
      </c>
      <c r="E468" s="20" t="s">
        <v>636</v>
      </c>
      <c r="F468" s="20" t="s">
        <v>637</v>
      </c>
      <c r="G468" s="20" t="s">
        <v>278</v>
      </c>
      <c r="H468" s="20" t="s">
        <v>536</v>
      </c>
      <c r="I468" s="21" t="s">
        <v>32</v>
      </c>
      <c r="J468" s="22" t="s">
        <v>33</v>
      </c>
      <c r="K468" s="23">
        <f>L468/1.22*1</f>
        <v>443.44262295081967</v>
      </c>
      <c r="L468" s="26">
        <v>541</v>
      </c>
      <c r="M468" s="25">
        <v>496.59</v>
      </c>
      <c r="N468" s="25">
        <f t="shared" si="7"/>
        <v>605.83979999999997</v>
      </c>
    </row>
    <row r="469" spans="2:14" ht="43.5" customHeight="1" x14ac:dyDescent="0.35">
      <c r="B469" s="20" t="s">
        <v>25</v>
      </c>
      <c r="C469" s="20" t="s">
        <v>532</v>
      </c>
      <c r="D469" s="20" t="s">
        <v>638</v>
      </c>
      <c r="E469" s="20" t="s">
        <v>639</v>
      </c>
      <c r="F469" s="20" t="s">
        <v>640</v>
      </c>
      <c r="G469" s="20" t="s">
        <v>278</v>
      </c>
      <c r="H469" s="20" t="s">
        <v>536</v>
      </c>
      <c r="I469" s="21" t="s">
        <v>32</v>
      </c>
      <c r="J469" s="22" t="s">
        <v>33</v>
      </c>
      <c r="K469" s="23">
        <f>L469/1.22*1</f>
        <v>437.70491803278691</v>
      </c>
      <c r="L469" s="26">
        <v>534</v>
      </c>
      <c r="M469" s="25">
        <v>448.23</v>
      </c>
      <c r="N469" s="25">
        <f t="shared" si="7"/>
        <v>546.84059999999999</v>
      </c>
    </row>
    <row r="470" spans="2:14" ht="43.5" customHeight="1" x14ac:dyDescent="0.35">
      <c r="B470" s="20" t="s">
        <v>25</v>
      </c>
      <c r="C470" s="20" t="s">
        <v>532</v>
      </c>
      <c r="D470" s="20" t="s">
        <v>641</v>
      </c>
      <c r="E470" s="20" t="s">
        <v>642</v>
      </c>
      <c r="F470" s="20" t="s">
        <v>643</v>
      </c>
      <c r="G470" s="20" t="s">
        <v>278</v>
      </c>
      <c r="H470" s="20" t="s">
        <v>536</v>
      </c>
      <c r="I470" s="21" t="s">
        <v>32</v>
      </c>
      <c r="J470" s="22" t="s">
        <v>33</v>
      </c>
      <c r="K470" s="23">
        <f>L470/1.22*1</f>
        <v>485.24590163934425</v>
      </c>
      <c r="L470" s="26">
        <v>592</v>
      </c>
      <c r="M470" s="25">
        <v>462.99</v>
      </c>
      <c r="N470" s="25">
        <f t="shared" si="7"/>
        <v>564.84780000000001</v>
      </c>
    </row>
    <row r="471" spans="2:14" ht="43.5" customHeight="1" x14ac:dyDescent="0.35">
      <c r="B471" s="20" t="s">
        <v>25</v>
      </c>
      <c r="C471" s="20" t="s">
        <v>532</v>
      </c>
      <c r="D471" s="20" t="s">
        <v>644</v>
      </c>
      <c r="E471" s="20" t="s">
        <v>645</v>
      </c>
      <c r="F471" s="20" t="s">
        <v>646</v>
      </c>
      <c r="G471" s="20" t="s">
        <v>278</v>
      </c>
      <c r="H471" s="20" t="s">
        <v>536</v>
      </c>
      <c r="I471" s="21" t="s">
        <v>32</v>
      </c>
      <c r="J471" s="22" t="s">
        <v>33</v>
      </c>
      <c r="K471" s="23">
        <f>L471/1.22*1</f>
        <v>472.95081967213116</v>
      </c>
      <c r="L471" s="26">
        <v>577</v>
      </c>
      <c r="M471" s="25">
        <v>324.45999999999998</v>
      </c>
      <c r="N471" s="25">
        <f t="shared" si="7"/>
        <v>395.84119999999996</v>
      </c>
    </row>
    <row r="472" spans="2:14" ht="43.5" customHeight="1" x14ac:dyDescent="0.35">
      <c r="B472" s="20" t="s">
        <v>25</v>
      </c>
      <c r="C472" s="20" t="s">
        <v>532</v>
      </c>
      <c r="D472" s="20" t="s">
        <v>647</v>
      </c>
      <c r="E472" s="20" t="s">
        <v>648</v>
      </c>
      <c r="F472" s="20" t="s">
        <v>649</v>
      </c>
      <c r="G472" s="20" t="s">
        <v>278</v>
      </c>
      <c r="H472" s="20" t="s">
        <v>536</v>
      </c>
      <c r="I472" s="21" t="s">
        <v>32</v>
      </c>
      <c r="J472" s="22" t="s">
        <v>33</v>
      </c>
      <c r="K472" s="23">
        <f>L472/1.22*1</f>
        <v>398.36065573770492</v>
      </c>
      <c r="L472" s="26">
        <v>486</v>
      </c>
      <c r="M472" s="25">
        <v>441.68</v>
      </c>
      <c r="N472" s="25">
        <f t="shared" si="7"/>
        <v>538.84960000000001</v>
      </c>
    </row>
    <row r="473" spans="2:14" ht="43.5" customHeight="1" x14ac:dyDescent="0.35">
      <c r="B473" s="20" t="s">
        <v>25</v>
      </c>
      <c r="C473" s="20" t="s">
        <v>532</v>
      </c>
      <c r="D473" s="20" t="s">
        <v>533</v>
      </c>
      <c r="E473" s="20" t="s">
        <v>650</v>
      </c>
      <c r="F473" s="20" t="s">
        <v>651</v>
      </c>
      <c r="G473" s="20" t="s">
        <v>278</v>
      </c>
      <c r="H473" s="20" t="s">
        <v>652</v>
      </c>
      <c r="I473" s="21" t="s">
        <v>32</v>
      </c>
      <c r="J473" s="22" t="s">
        <v>33</v>
      </c>
      <c r="K473" s="23">
        <f>L473/1.22*1</f>
        <v>301.63934426229508</v>
      </c>
      <c r="L473" s="26">
        <v>368</v>
      </c>
      <c r="M473" s="25">
        <v>734.3</v>
      </c>
      <c r="N473" s="25">
        <f t="shared" si="7"/>
        <v>895.84599999999989</v>
      </c>
    </row>
    <row r="474" spans="2:14" ht="43.5" customHeight="1" x14ac:dyDescent="0.35">
      <c r="B474" s="20" t="s">
        <v>25</v>
      </c>
      <c r="C474" s="20" t="s">
        <v>532</v>
      </c>
      <c r="D474" s="20" t="s">
        <v>537</v>
      </c>
      <c r="E474" s="20" t="s">
        <v>653</v>
      </c>
      <c r="F474" s="20" t="s">
        <v>654</v>
      </c>
      <c r="G474" s="20" t="s">
        <v>278</v>
      </c>
      <c r="H474" s="20" t="s">
        <v>652</v>
      </c>
      <c r="I474" s="21" t="s">
        <v>32</v>
      </c>
      <c r="J474" s="22" t="s">
        <v>33</v>
      </c>
      <c r="K474" s="23">
        <f>L474/1.22*1</f>
        <v>532.78688524590166</v>
      </c>
      <c r="L474" s="26">
        <v>650</v>
      </c>
      <c r="M474" s="25">
        <v>203.97</v>
      </c>
      <c r="N474" s="25">
        <f t="shared" si="7"/>
        <v>248.8434</v>
      </c>
    </row>
    <row r="475" spans="2:14" ht="43.5" customHeight="1" x14ac:dyDescent="0.35">
      <c r="B475" s="20" t="s">
        <v>25</v>
      </c>
      <c r="C475" s="20" t="s">
        <v>532</v>
      </c>
      <c r="D475" s="20" t="s">
        <v>540</v>
      </c>
      <c r="E475" s="20" t="s">
        <v>655</v>
      </c>
      <c r="F475" s="20" t="s">
        <v>656</v>
      </c>
      <c r="G475" s="20" t="s">
        <v>278</v>
      </c>
      <c r="H475" s="20" t="s">
        <v>652</v>
      </c>
      <c r="I475" s="21" t="s">
        <v>32</v>
      </c>
      <c r="J475" s="22" t="s">
        <v>33</v>
      </c>
      <c r="K475" s="23">
        <f>L475/1.22*1</f>
        <v>297.5409836065574</v>
      </c>
      <c r="L475" s="26">
        <v>363</v>
      </c>
      <c r="M475" s="25">
        <v>448.23</v>
      </c>
      <c r="N475" s="25">
        <f t="shared" si="7"/>
        <v>546.84059999999999</v>
      </c>
    </row>
    <row r="476" spans="2:14" ht="43.5" customHeight="1" x14ac:dyDescent="0.35">
      <c r="B476" s="20" t="s">
        <v>25</v>
      </c>
      <c r="C476" s="20" t="s">
        <v>532</v>
      </c>
      <c r="D476" s="20" t="s">
        <v>543</v>
      </c>
      <c r="E476" s="20" t="s">
        <v>657</v>
      </c>
      <c r="F476" s="20" t="s">
        <v>658</v>
      </c>
      <c r="G476" s="20" t="s">
        <v>278</v>
      </c>
      <c r="H476" s="20" t="s">
        <v>652</v>
      </c>
      <c r="I476" s="21" t="s">
        <v>32</v>
      </c>
      <c r="J476" s="22" t="s">
        <v>33</v>
      </c>
      <c r="K476" s="23">
        <f>L476/1.22*1</f>
        <v>375.40983606557376</v>
      </c>
      <c r="L476" s="26">
        <v>458</v>
      </c>
      <c r="M476" s="25">
        <v>417.91</v>
      </c>
      <c r="N476" s="25">
        <f t="shared" si="7"/>
        <v>509.85020000000003</v>
      </c>
    </row>
    <row r="477" spans="2:14" ht="43.5" customHeight="1" x14ac:dyDescent="0.35">
      <c r="B477" s="20" t="s">
        <v>25</v>
      </c>
      <c r="C477" s="20" t="s">
        <v>532</v>
      </c>
      <c r="D477" s="20" t="s">
        <v>548</v>
      </c>
      <c r="E477" s="20" t="s">
        <v>659</v>
      </c>
      <c r="F477" s="20" t="s">
        <v>660</v>
      </c>
      <c r="G477" s="20" t="s">
        <v>278</v>
      </c>
      <c r="H477" s="20" t="s">
        <v>652</v>
      </c>
      <c r="I477" s="21" t="s">
        <v>32</v>
      </c>
      <c r="J477" s="22" t="s">
        <v>33</v>
      </c>
      <c r="K477" s="23">
        <f>L477/1.22*1</f>
        <v>422.13114754098359</v>
      </c>
      <c r="L477" s="26">
        <v>515</v>
      </c>
      <c r="M477" s="25">
        <v>296.58999999999997</v>
      </c>
      <c r="N477" s="25">
        <f t="shared" si="7"/>
        <v>361.83979999999997</v>
      </c>
    </row>
    <row r="478" spans="2:14" ht="43.5" customHeight="1" x14ac:dyDescent="0.35">
      <c r="B478" s="20" t="s">
        <v>25</v>
      </c>
      <c r="C478" s="20" t="s">
        <v>532</v>
      </c>
      <c r="D478" s="20" t="s">
        <v>551</v>
      </c>
      <c r="E478" s="20" t="s">
        <v>661</v>
      </c>
      <c r="F478" s="20" t="s">
        <v>662</v>
      </c>
      <c r="G478" s="20" t="s">
        <v>278</v>
      </c>
      <c r="H478" s="20" t="s">
        <v>652</v>
      </c>
      <c r="I478" s="21" t="s">
        <v>32</v>
      </c>
      <c r="J478" s="22" t="s">
        <v>33</v>
      </c>
      <c r="K478" s="23">
        <f>L478/1.22*1</f>
        <v>297.5409836065574</v>
      </c>
      <c r="L478" s="26">
        <v>363</v>
      </c>
      <c r="M478" s="25">
        <v>1620.36</v>
      </c>
      <c r="N478" s="25">
        <f t="shared" si="7"/>
        <v>1976.8391999999999</v>
      </c>
    </row>
    <row r="479" spans="2:14" ht="43.5" customHeight="1" x14ac:dyDescent="0.35">
      <c r="B479" s="20" t="s">
        <v>25</v>
      </c>
      <c r="C479" s="20" t="s">
        <v>532</v>
      </c>
      <c r="D479" s="20" t="s">
        <v>557</v>
      </c>
      <c r="E479" s="20" t="s">
        <v>663</v>
      </c>
      <c r="F479" s="20" t="s">
        <v>664</v>
      </c>
      <c r="G479" s="20" t="s">
        <v>278</v>
      </c>
      <c r="H479" s="20" t="s">
        <v>652</v>
      </c>
      <c r="I479" s="21" t="s">
        <v>32</v>
      </c>
      <c r="J479" s="22" t="s">
        <v>33</v>
      </c>
      <c r="K479" s="23">
        <f>L479/1.22*1</f>
        <v>386.88524590163934</v>
      </c>
      <c r="L479" s="26">
        <v>472</v>
      </c>
      <c r="M479" s="25">
        <v>1802.33</v>
      </c>
      <c r="N479" s="25">
        <f t="shared" si="7"/>
        <v>2198.8425999999999</v>
      </c>
    </row>
    <row r="480" spans="2:14" ht="43.5" customHeight="1" x14ac:dyDescent="0.35">
      <c r="B480" s="20" t="s">
        <v>25</v>
      </c>
      <c r="C480" s="20" t="s">
        <v>532</v>
      </c>
      <c r="D480" s="20" t="s">
        <v>665</v>
      </c>
      <c r="E480" s="20" t="s">
        <v>666</v>
      </c>
      <c r="F480" s="20" t="s">
        <v>667</v>
      </c>
      <c r="G480" s="20" t="s">
        <v>278</v>
      </c>
      <c r="H480" s="20" t="s">
        <v>652</v>
      </c>
      <c r="I480" s="21" t="s">
        <v>32</v>
      </c>
      <c r="J480" s="22" t="s">
        <v>33</v>
      </c>
      <c r="K480" s="23">
        <f>L480/1.22*1</f>
        <v>423.77049180327867</v>
      </c>
      <c r="L480" s="26">
        <v>517</v>
      </c>
      <c r="M480" s="25">
        <v>503.97</v>
      </c>
      <c r="N480" s="25">
        <f t="shared" si="7"/>
        <v>614.84339999999997</v>
      </c>
    </row>
    <row r="481" spans="2:14" ht="43.5" customHeight="1" x14ac:dyDescent="0.35">
      <c r="B481" s="20" t="s">
        <v>25</v>
      </c>
      <c r="C481" s="20" t="s">
        <v>532</v>
      </c>
      <c r="D481" s="20" t="s">
        <v>566</v>
      </c>
      <c r="E481" s="20" t="s">
        <v>668</v>
      </c>
      <c r="F481" s="20" t="s">
        <v>669</v>
      </c>
      <c r="G481" s="20" t="s">
        <v>278</v>
      </c>
      <c r="H481" s="20" t="s">
        <v>652</v>
      </c>
      <c r="I481" s="21" t="s">
        <v>32</v>
      </c>
      <c r="J481" s="22" t="s">
        <v>33</v>
      </c>
      <c r="K481" s="23">
        <f>L481/1.22*1</f>
        <v>492.62295081967216</v>
      </c>
      <c r="L481" s="26">
        <v>601</v>
      </c>
      <c r="M481" s="25">
        <v>2140.04</v>
      </c>
      <c r="N481" s="25">
        <f t="shared" si="7"/>
        <v>2610.8487999999998</v>
      </c>
    </row>
    <row r="482" spans="2:14" ht="43.5" customHeight="1" x14ac:dyDescent="0.35">
      <c r="B482" s="20" t="s">
        <v>25</v>
      </c>
      <c r="C482" s="20" t="s">
        <v>532</v>
      </c>
      <c r="D482" s="20" t="s">
        <v>575</v>
      </c>
      <c r="E482" s="20" t="s">
        <v>670</v>
      </c>
      <c r="F482" s="20" t="s">
        <v>671</v>
      </c>
      <c r="G482" s="20" t="s">
        <v>278</v>
      </c>
      <c r="H482" s="20" t="s">
        <v>652</v>
      </c>
      <c r="I482" s="21" t="s">
        <v>32</v>
      </c>
      <c r="J482" s="22" t="s">
        <v>33</v>
      </c>
      <c r="K482" s="23">
        <f>L482/1.22*1</f>
        <v>368.03278688524591</v>
      </c>
      <c r="L482" s="26">
        <v>449</v>
      </c>
      <c r="M482" s="25">
        <v>1789.22</v>
      </c>
      <c r="N482" s="25">
        <f t="shared" si="7"/>
        <v>2182.8483999999999</v>
      </c>
    </row>
    <row r="483" spans="2:14" ht="43.5" customHeight="1" x14ac:dyDescent="0.35">
      <c r="B483" s="20" t="s">
        <v>25</v>
      </c>
      <c r="C483" s="20" t="s">
        <v>532</v>
      </c>
      <c r="D483" s="20" t="s">
        <v>672</v>
      </c>
      <c r="E483" s="20" t="s">
        <v>673</v>
      </c>
      <c r="F483" s="20" t="s">
        <v>674</v>
      </c>
      <c r="G483" s="20" t="s">
        <v>278</v>
      </c>
      <c r="H483" s="20" t="s">
        <v>652</v>
      </c>
      <c r="I483" s="21" t="s">
        <v>32</v>
      </c>
      <c r="J483" s="22" t="s">
        <v>33</v>
      </c>
      <c r="K483" s="23">
        <f>L483/1.22*1</f>
        <v>289.34426229508199</v>
      </c>
      <c r="L483" s="26">
        <v>353</v>
      </c>
      <c r="M483" s="25">
        <v>1620.36</v>
      </c>
      <c r="N483" s="25">
        <f t="shared" si="7"/>
        <v>1976.8391999999999</v>
      </c>
    </row>
    <row r="484" spans="2:14" ht="43.5" customHeight="1" x14ac:dyDescent="0.35">
      <c r="B484" s="20" t="s">
        <v>25</v>
      </c>
      <c r="C484" s="20" t="s">
        <v>532</v>
      </c>
      <c r="D484" s="20" t="s">
        <v>581</v>
      </c>
      <c r="E484" s="20" t="s">
        <v>675</v>
      </c>
      <c r="F484" s="20" t="s">
        <v>676</v>
      </c>
      <c r="G484" s="20" t="s">
        <v>278</v>
      </c>
      <c r="H484" s="20" t="s">
        <v>652</v>
      </c>
      <c r="I484" s="21" t="s">
        <v>32</v>
      </c>
      <c r="J484" s="22" t="s">
        <v>33</v>
      </c>
      <c r="K484" s="23">
        <f>L484/1.22*1</f>
        <v>457.3770491803279</v>
      </c>
      <c r="L484" s="26">
        <v>558</v>
      </c>
      <c r="M484" s="25">
        <v>1480.2</v>
      </c>
      <c r="N484" s="25">
        <f t="shared" si="7"/>
        <v>1805.8440000000001</v>
      </c>
    </row>
    <row r="485" spans="2:14" ht="43.5" customHeight="1" x14ac:dyDescent="0.35">
      <c r="B485" s="20" t="s">
        <v>25</v>
      </c>
      <c r="C485" s="20" t="s">
        <v>532</v>
      </c>
      <c r="D485" s="20" t="s">
        <v>677</v>
      </c>
      <c r="E485" s="20" t="s">
        <v>678</v>
      </c>
      <c r="F485" s="20" t="s">
        <v>679</v>
      </c>
      <c r="G485" s="20" t="s">
        <v>278</v>
      </c>
      <c r="H485" s="20" t="s">
        <v>652</v>
      </c>
      <c r="I485" s="21" t="s">
        <v>32</v>
      </c>
      <c r="J485" s="22" t="s">
        <v>33</v>
      </c>
      <c r="K485" s="23">
        <f>L485/1.22*1</f>
        <v>304.91803278688525</v>
      </c>
      <c r="L485" s="26">
        <v>372</v>
      </c>
      <c r="M485" s="25">
        <v>1870.36</v>
      </c>
      <c r="N485" s="25">
        <f t="shared" si="7"/>
        <v>2281.8391999999999</v>
      </c>
    </row>
    <row r="486" spans="2:14" ht="43.5" customHeight="1" x14ac:dyDescent="0.35">
      <c r="B486" s="20" t="s">
        <v>25</v>
      </c>
      <c r="C486" s="20" t="s">
        <v>532</v>
      </c>
      <c r="D486" s="20" t="s">
        <v>680</v>
      </c>
      <c r="E486" s="20" t="s">
        <v>681</v>
      </c>
      <c r="F486" s="20" t="s">
        <v>682</v>
      </c>
      <c r="G486" s="20" t="s">
        <v>278</v>
      </c>
      <c r="H486" s="20" t="s">
        <v>652</v>
      </c>
      <c r="I486" s="21" t="s">
        <v>32</v>
      </c>
      <c r="J486" s="22" t="s">
        <v>33</v>
      </c>
      <c r="K486" s="23">
        <f>L486/1.22*1</f>
        <v>336.88524590163934</v>
      </c>
      <c r="L486" s="26">
        <v>411</v>
      </c>
      <c r="M486" s="25">
        <v>1514.63</v>
      </c>
      <c r="N486" s="25">
        <f t="shared" si="7"/>
        <v>1847.8486</v>
      </c>
    </row>
    <row r="487" spans="2:14" ht="43.5" customHeight="1" x14ac:dyDescent="0.35">
      <c r="B487" s="20" t="s">
        <v>25</v>
      </c>
      <c r="C487" s="20" t="s">
        <v>532</v>
      </c>
      <c r="D487" s="20" t="s">
        <v>683</v>
      </c>
      <c r="E487" s="20" t="s">
        <v>684</v>
      </c>
      <c r="F487" s="20" t="s">
        <v>685</v>
      </c>
      <c r="G487" s="20" t="s">
        <v>278</v>
      </c>
      <c r="H487" s="20" t="s">
        <v>652</v>
      </c>
      <c r="I487" s="21" t="s">
        <v>32</v>
      </c>
      <c r="J487" s="22" t="s">
        <v>33</v>
      </c>
      <c r="K487" s="23">
        <f>L487/1.22*1</f>
        <v>273.77049180327867</v>
      </c>
      <c r="L487" s="26">
        <v>334</v>
      </c>
      <c r="M487" s="25">
        <v>1453.15</v>
      </c>
      <c r="N487" s="25">
        <f t="shared" si="7"/>
        <v>1772.8430000000001</v>
      </c>
    </row>
    <row r="488" spans="2:14" ht="43.5" customHeight="1" x14ac:dyDescent="0.35">
      <c r="B488" s="20" t="s">
        <v>25</v>
      </c>
      <c r="C488" s="20" t="s">
        <v>532</v>
      </c>
      <c r="D488" s="20" t="s">
        <v>686</v>
      </c>
      <c r="E488" s="20" t="s">
        <v>687</v>
      </c>
      <c r="F488" s="20" t="s">
        <v>688</v>
      </c>
      <c r="G488" s="20" t="s">
        <v>278</v>
      </c>
      <c r="H488" s="20" t="s">
        <v>652</v>
      </c>
      <c r="I488" s="21" t="s">
        <v>32</v>
      </c>
      <c r="J488" s="22" t="s">
        <v>33</v>
      </c>
      <c r="K488" s="23">
        <f>L488/1.22*1</f>
        <v>461.47540983606558</v>
      </c>
      <c r="L488" s="26">
        <v>563</v>
      </c>
      <c r="M488" s="25">
        <v>1877.74</v>
      </c>
      <c r="N488" s="25">
        <f t="shared" si="7"/>
        <v>2290.8427999999999</v>
      </c>
    </row>
    <row r="489" spans="2:14" ht="43.5" customHeight="1" x14ac:dyDescent="0.35">
      <c r="B489" s="20" t="s">
        <v>25</v>
      </c>
      <c r="C489" s="20" t="s">
        <v>532</v>
      </c>
      <c r="D489" s="20" t="s">
        <v>689</v>
      </c>
      <c r="E489" s="20" t="s">
        <v>690</v>
      </c>
      <c r="F489" s="20" t="s">
        <v>691</v>
      </c>
      <c r="G489" s="20" t="s">
        <v>278</v>
      </c>
      <c r="H489" s="20" t="s">
        <v>652</v>
      </c>
      <c r="I489" s="21" t="s">
        <v>32</v>
      </c>
      <c r="J489" s="22" t="s">
        <v>33</v>
      </c>
      <c r="K489" s="23">
        <f>L489/1.22*1</f>
        <v>297.5409836065574</v>
      </c>
      <c r="L489" s="26">
        <v>363</v>
      </c>
      <c r="M489" s="25">
        <v>1827.74</v>
      </c>
      <c r="N489" s="25">
        <f t="shared" si="7"/>
        <v>2229.8427999999999</v>
      </c>
    </row>
    <row r="490" spans="2:14" ht="43.5" customHeight="1" x14ac:dyDescent="0.35">
      <c r="B490" s="20" t="s">
        <v>25</v>
      </c>
      <c r="C490" s="20" t="s">
        <v>532</v>
      </c>
      <c r="D490" s="20" t="s">
        <v>620</v>
      </c>
      <c r="E490" s="20" t="s">
        <v>621</v>
      </c>
      <c r="F490" s="20" t="s">
        <v>692</v>
      </c>
      <c r="G490" s="20" t="s">
        <v>278</v>
      </c>
      <c r="H490" s="20" t="s">
        <v>652</v>
      </c>
      <c r="I490" s="21" t="s">
        <v>32</v>
      </c>
      <c r="J490" s="22" t="s">
        <v>33</v>
      </c>
      <c r="K490" s="23">
        <f>L490/1.22*1</f>
        <v>359.8360655737705</v>
      </c>
      <c r="L490" s="26">
        <v>439</v>
      </c>
      <c r="M490" s="25">
        <v>1835.12</v>
      </c>
      <c r="N490" s="25">
        <f t="shared" si="7"/>
        <v>2238.8463999999999</v>
      </c>
    </row>
    <row r="491" spans="2:14" ht="43.5" customHeight="1" x14ac:dyDescent="0.35">
      <c r="B491" s="20" t="s">
        <v>25</v>
      </c>
      <c r="C491" s="20" t="s">
        <v>532</v>
      </c>
      <c r="D491" s="20" t="s">
        <v>693</v>
      </c>
      <c r="E491" s="20" t="s">
        <v>694</v>
      </c>
      <c r="F491" s="20" t="s">
        <v>695</v>
      </c>
      <c r="G491" s="20" t="s">
        <v>278</v>
      </c>
      <c r="H491" s="20" t="s">
        <v>652</v>
      </c>
      <c r="I491" s="21" t="s">
        <v>32</v>
      </c>
      <c r="J491" s="22" t="s">
        <v>33</v>
      </c>
      <c r="K491" s="23">
        <f>L491/1.22*1</f>
        <v>543.44262295081967</v>
      </c>
      <c r="L491" s="26">
        <v>663</v>
      </c>
      <c r="M491" s="25">
        <v>1694.95</v>
      </c>
      <c r="N491" s="25">
        <f t="shared" si="7"/>
        <v>2067.8389999999999</v>
      </c>
    </row>
    <row r="492" spans="2:14" ht="43.5" customHeight="1" x14ac:dyDescent="0.35">
      <c r="B492" s="20" t="s">
        <v>25</v>
      </c>
      <c r="C492" s="20" t="s">
        <v>532</v>
      </c>
      <c r="D492" s="20" t="s">
        <v>696</v>
      </c>
      <c r="E492" s="20" t="s">
        <v>697</v>
      </c>
      <c r="F492" s="20" t="s">
        <v>698</v>
      </c>
      <c r="G492" s="20" t="s">
        <v>278</v>
      </c>
      <c r="H492" s="20" t="s">
        <v>652</v>
      </c>
      <c r="I492" s="21" t="s">
        <v>32</v>
      </c>
      <c r="J492" s="22" t="s">
        <v>33</v>
      </c>
      <c r="K492" s="23">
        <f>L492/1.22*1</f>
        <v>461.47540983606558</v>
      </c>
      <c r="L492" s="26">
        <v>563</v>
      </c>
      <c r="M492" s="25">
        <v>1172</v>
      </c>
      <c r="N492" s="25">
        <f t="shared" si="7"/>
        <v>1429.84</v>
      </c>
    </row>
    <row r="493" spans="2:14" ht="43.5" customHeight="1" x14ac:dyDescent="0.35">
      <c r="B493" s="20" t="s">
        <v>25</v>
      </c>
      <c r="C493" s="20" t="s">
        <v>532</v>
      </c>
      <c r="D493" s="20" t="s">
        <v>699</v>
      </c>
      <c r="E493" s="20" t="s">
        <v>700</v>
      </c>
      <c r="F493" s="20" t="s">
        <v>701</v>
      </c>
      <c r="G493" s="20" t="s">
        <v>278</v>
      </c>
      <c r="H493" s="20" t="s">
        <v>652</v>
      </c>
      <c r="I493" s="21" t="s">
        <v>32</v>
      </c>
      <c r="J493" s="22" t="s">
        <v>33</v>
      </c>
      <c r="K493" s="23">
        <f>L493/1.22*1</f>
        <v>379.50819672131149</v>
      </c>
      <c r="L493" s="26">
        <v>463</v>
      </c>
      <c r="M493" s="25">
        <v>527.74</v>
      </c>
      <c r="N493" s="25">
        <f t="shared" si="7"/>
        <v>643.84280000000001</v>
      </c>
    </row>
    <row r="494" spans="2:14" ht="43.5" customHeight="1" x14ac:dyDescent="0.35">
      <c r="B494" s="20" t="s">
        <v>25</v>
      </c>
      <c r="C494" s="20" t="s">
        <v>532</v>
      </c>
      <c r="D494" s="20" t="s">
        <v>702</v>
      </c>
      <c r="E494" s="20" t="s">
        <v>703</v>
      </c>
      <c r="F494" s="20" t="s">
        <v>704</v>
      </c>
      <c r="G494" s="20" t="s">
        <v>278</v>
      </c>
      <c r="H494" s="20" t="s">
        <v>652</v>
      </c>
      <c r="I494" s="21" t="s">
        <v>32</v>
      </c>
      <c r="J494" s="22" t="s">
        <v>33</v>
      </c>
      <c r="K494" s="23">
        <f>L494/1.22*1</f>
        <v>355.73770491803282</v>
      </c>
      <c r="L494" s="26">
        <v>434</v>
      </c>
      <c r="M494" s="25">
        <v>547.41</v>
      </c>
      <c r="N494" s="25">
        <f t="shared" si="7"/>
        <v>667.84019999999998</v>
      </c>
    </row>
    <row r="495" spans="2:14" ht="43.5" customHeight="1" x14ac:dyDescent="0.35">
      <c r="B495" s="20" t="s">
        <v>25</v>
      </c>
      <c r="C495" s="20" t="s">
        <v>532</v>
      </c>
      <c r="D495" s="20" t="s">
        <v>563</v>
      </c>
      <c r="E495" s="20" t="s">
        <v>705</v>
      </c>
      <c r="F495" s="20" t="s">
        <v>706</v>
      </c>
      <c r="G495" s="20" t="s">
        <v>278</v>
      </c>
      <c r="H495" s="20" t="s">
        <v>652</v>
      </c>
      <c r="I495" s="21" t="s">
        <v>32</v>
      </c>
      <c r="J495" s="22" t="s">
        <v>33</v>
      </c>
      <c r="K495" s="23">
        <f>L495/1.22*1</f>
        <v>382.78688524590166</v>
      </c>
      <c r="L495" s="26">
        <v>467</v>
      </c>
      <c r="M495" s="25">
        <v>676.1</v>
      </c>
      <c r="N495" s="25">
        <f t="shared" si="7"/>
        <v>824.84199999999998</v>
      </c>
    </row>
    <row r="496" spans="2:14" ht="43.5" customHeight="1" x14ac:dyDescent="0.35">
      <c r="B496" s="20" t="s">
        <v>25</v>
      </c>
      <c r="C496" s="20" t="s">
        <v>532</v>
      </c>
      <c r="D496" s="20" t="s">
        <v>707</v>
      </c>
      <c r="E496" s="20" t="s">
        <v>708</v>
      </c>
      <c r="F496" s="20" t="s">
        <v>709</v>
      </c>
      <c r="G496" s="20" t="s">
        <v>278</v>
      </c>
      <c r="H496" s="20" t="s">
        <v>652</v>
      </c>
      <c r="I496" s="21" t="s">
        <v>32</v>
      </c>
      <c r="J496" s="22" t="s">
        <v>33</v>
      </c>
      <c r="K496" s="23">
        <f>L496/1.22*1</f>
        <v>437.70491803278691</v>
      </c>
      <c r="L496" s="26">
        <v>534</v>
      </c>
      <c r="M496" s="25">
        <v>571.17999999999995</v>
      </c>
      <c r="N496" s="25">
        <f t="shared" si="7"/>
        <v>696.8395999999999</v>
      </c>
    </row>
    <row r="497" spans="2:14" ht="43.5" customHeight="1" x14ac:dyDescent="0.35">
      <c r="B497" s="20" t="s">
        <v>25</v>
      </c>
      <c r="C497" s="20" t="s">
        <v>532</v>
      </c>
      <c r="D497" s="20" t="s">
        <v>710</v>
      </c>
      <c r="E497" s="20" t="s">
        <v>711</v>
      </c>
      <c r="F497" s="20" t="s">
        <v>712</v>
      </c>
      <c r="G497" s="20" t="s">
        <v>278</v>
      </c>
      <c r="H497" s="20" t="s">
        <v>652</v>
      </c>
      <c r="I497" s="21" t="s">
        <v>32</v>
      </c>
      <c r="J497" s="22" t="s">
        <v>33</v>
      </c>
      <c r="K497" s="23">
        <f>L497/1.22*1</f>
        <v>344.26229508196724</v>
      </c>
      <c r="L497" s="26">
        <v>420</v>
      </c>
      <c r="M497" s="25">
        <v>858.89</v>
      </c>
      <c r="N497" s="25">
        <f t="shared" si="7"/>
        <v>1047.8458000000001</v>
      </c>
    </row>
    <row r="498" spans="2:14" ht="43.5" customHeight="1" x14ac:dyDescent="0.35">
      <c r="B498" s="20" t="s">
        <v>25</v>
      </c>
      <c r="C498" s="20" t="s">
        <v>713</v>
      </c>
      <c r="D498" s="20" t="s">
        <v>714</v>
      </c>
      <c r="E498" s="20" t="s">
        <v>715</v>
      </c>
      <c r="F498" s="20" t="s">
        <v>716</v>
      </c>
      <c r="G498" s="20" t="s">
        <v>717</v>
      </c>
      <c r="H498" s="20" t="s">
        <v>718</v>
      </c>
      <c r="I498" s="21" t="s">
        <v>32</v>
      </c>
      <c r="J498" s="22" t="s">
        <v>33</v>
      </c>
      <c r="K498" s="23">
        <f>L498/1.22*1</f>
        <v>539.34426229508199</v>
      </c>
      <c r="L498" s="26">
        <v>658</v>
      </c>
      <c r="M498" s="25">
        <v>1105.6099999999999</v>
      </c>
      <c r="N498" s="25">
        <f t="shared" si="7"/>
        <v>1348.8441999999998</v>
      </c>
    </row>
    <row r="499" spans="2:14" ht="43.5" customHeight="1" x14ac:dyDescent="0.35">
      <c r="B499" s="20" t="s">
        <v>25</v>
      </c>
      <c r="C499" s="20" t="s">
        <v>713</v>
      </c>
      <c r="D499" s="20" t="s">
        <v>719</v>
      </c>
      <c r="E499" s="20" t="s">
        <v>720</v>
      </c>
      <c r="F499" s="20" t="s">
        <v>721</v>
      </c>
      <c r="G499" s="20" t="s">
        <v>717</v>
      </c>
      <c r="H499" s="20" t="s">
        <v>718</v>
      </c>
      <c r="I499" s="21" t="s">
        <v>32</v>
      </c>
      <c r="J499" s="22" t="s">
        <v>33</v>
      </c>
      <c r="K499" s="23">
        <f>L499/1.22*1</f>
        <v>641.80327868852464</v>
      </c>
      <c r="L499" s="26">
        <v>783</v>
      </c>
      <c r="M499" s="25">
        <v>538.4</v>
      </c>
      <c r="N499" s="25">
        <f t="shared" si="7"/>
        <v>656.84799999999996</v>
      </c>
    </row>
    <row r="500" spans="2:14" ht="43.5" customHeight="1" x14ac:dyDescent="0.35">
      <c r="B500" s="20" t="s">
        <v>25</v>
      </c>
      <c r="C500" s="20" t="s">
        <v>713</v>
      </c>
      <c r="D500" s="20" t="s">
        <v>719</v>
      </c>
      <c r="E500" s="20" t="s">
        <v>720</v>
      </c>
      <c r="F500" s="20" t="s">
        <v>722</v>
      </c>
      <c r="G500" s="20" t="s">
        <v>717</v>
      </c>
      <c r="H500" s="20" t="s">
        <v>718</v>
      </c>
      <c r="I500" s="21" t="s">
        <v>32</v>
      </c>
      <c r="J500" s="22" t="s">
        <v>33</v>
      </c>
      <c r="K500" s="23">
        <f>L500/1.22*1</f>
        <v>450</v>
      </c>
      <c r="L500" s="26">
        <v>549</v>
      </c>
      <c r="M500" s="25">
        <v>589.22</v>
      </c>
      <c r="N500" s="25">
        <f t="shared" si="7"/>
        <v>718.84839999999997</v>
      </c>
    </row>
    <row r="501" spans="2:14" ht="43.5" customHeight="1" x14ac:dyDescent="0.35">
      <c r="B501" s="20" t="s">
        <v>25</v>
      </c>
      <c r="C501" s="20" t="s">
        <v>713</v>
      </c>
      <c r="D501" s="20" t="s">
        <v>719</v>
      </c>
      <c r="E501" s="20" t="s">
        <v>720</v>
      </c>
      <c r="F501" s="20" t="s">
        <v>723</v>
      </c>
      <c r="G501" s="20" t="s">
        <v>717</v>
      </c>
      <c r="H501" s="20" t="s">
        <v>718</v>
      </c>
      <c r="I501" s="21" t="s">
        <v>32</v>
      </c>
      <c r="J501" s="22" t="s">
        <v>33</v>
      </c>
      <c r="K501" s="23">
        <f>L501/1.22*1</f>
        <v>692.62295081967216</v>
      </c>
      <c r="L501" s="26">
        <v>845</v>
      </c>
      <c r="M501" s="25">
        <v>414.63</v>
      </c>
      <c r="N501" s="25">
        <f t="shared" si="7"/>
        <v>505.84859999999998</v>
      </c>
    </row>
    <row r="502" spans="2:14" ht="43.5" customHeight="1" x14ac:dyDescent="0.35">
      <c r="B502" s="20" t="s">
        <v>25</v>
      </c>
      <c r="C502" s="20" t="s">
        <v>713</v>
      </c>
      <c r="D502" s="20" t="s">
        <v>724</v>
      </c>
      <c r="E502" s="20" t="s">
        <v>725</v>
      </c>
      <c r="F502" s="20" t="s">
        <v>726</v>
      </c>
      <c r="G502" s="20" t="s">
        <v>717</v>
      </c>
      <c r="H502" s="20" t="s">
        <v>718</v>
      </c>
      <c r="I502" s="21" t="s">
        <v>32</v>
      </c>
      <c r="J502" s="22" t="s">
        <v>33</v>
      </c>
      <c r="K502" s="23">
        <f>L502/1.22*1</f>
        <v>328.68852459016392</v>
      </c>
      <c r="L502" s="26">
        <v>401</v>
      </c>
      <c r="M502" s="25">
        <v>339.22</v>
      </c>
      <c r="N502" s="25">
        <f t="shared" si="7"/>
        <v>413.84840000000003</v>
      </c>
    </row>
    <row r="503" spans="2:14" ht="43.5" customHeight="1" x14ac:dyDescent="0.35">
      <c r="B503" s="20" t="s">
        <v>25</v>
      </c>
      <c r="C503" s="20" t="s">
        <v>713</v>
      </c>
      <c r="D503" s="20" t="s">
        <v>727</v>
      </c>
      <c r="E503" s="20" t="s">
        <v>728</v>
      </c>
      <c r="F503" s="20" t="s">
        <v>729</v>
      </c>
      <c r="G503" s="20" t="s">
        <v>717</v>
      </c>
      <c r="H503" s="20" t="s">
        <v>718</v>
      </c>
      <c r="I503" s="21" t="s">
        <v>32</v>
      </c>
      <c r="J503" s="22" t="s">
        <v>33</v>
      </c>
      <c r="K503" s="23">
        <f>L503/1.22*1</f>
        <v>499.18032786885249</v>
      </c>
      <c r="L503" s="26">
        <v>609</v>
      </c>
      <c r="M503" s="25">
        <v>412.99</v>
      </c>
      <c r="N503" s="25">
        <f t="shared" si="7"/>
        <v>503.84780000000001</v>
      </c>
    </row>
    <row r="504" spans="2:14" ht="43.5" customHeight="1" x14ac:dyDescent="0.35">
      <c r="B504" s="20" t="s">
        <v>25</v>
      </c>
      <c r="C504" s="20" t="s">
        <v>713</v>
      </c>
      <c r="D504" s="20" t="s">
        <v>727</v>
      </c>
      <c r="E504" s="20" t="s">
        <v>728</v>
      </c>
      <c r="F504" s="20" t="s">
        <v>730</v>
      </c>
      <c r="G504" s="20" t="s">
        <v>717</v>
      </c>
      <c r="H504" s="20" t="s">
        <v>718</v>
      </c>
      <c r="I504" s="21" t="s">
        <v>32</v>
      </c>
      <c r="J504" s="22" t="s">
        <v>33</v>
      </c>
      <c r="K504" s="23">
        <f>L504/1.22*1</f>
        <v>558.19672131147547</v>
      </c>
      <c r="L504" s="26">
        <v>681</v>
      </c>
      <c r="M504" s="25">
        <v>462.99</v>
      </c>
      <c r="N504" s="25">
        <f t="shared" si="7"/>
        <v>564.84780000000001</v>
      </c>
    </row>
    <row r="505" spans="2:14" ht="43.5" customHeight="1" x14ac:dyDescent="0.35">
      <c r="B505" s="20" t="s">
        <v>25</v>
      </c>
      <c r="C505" s="20" t="s">
        <v>713</v>
      </c>
      <c r="D505" s="20" t="s">
        <v>727</v>
      </c>
      <c r="E505" s="20" t="s">
        <v>728</v>
      </c>
      <c r="F505" s="20" t="s">
        <v>731</v>
      </c>
      <c r="G505" s="20" t="s">
        <v>717</v>
      </c>
      <c r="H505" s="20" t="s">
        <v>718</v>
      </c>
      <c r="I505" s="21" t="s">
        <v>32</v>
      </c>
      <c r="J505" s="22" t="s">
        <v>33</v>
      </c>
      <c r="K505" s="23">
        <f>L505/1.22*1</f>
        <v>508.19672131147541</v>
      </c>
      <c r="L505" s="26">
        <v>620</v>
      </c>
      <c r="M505" s="25">
        <v>825.28</v>
      </c>
      <c r="N505" s="25">
        <f t="shared" si="7"/>
        <v>1006.8416</v>
      </c>
    </row>
    <row r="506" spans="2:14" ht="43.5" customHeight="1" x14ac:dyDescent="0.35">
      <c r="B506" s="20" t="s">
        <v>25</v>
      </c>
      <c r="C506" s="20" t="s">
        <v>713</v>
      </c>
      <c r="D506" s="20" t="s">
        <v>732</v>
      </c>
      <c r="E506" s="20" t="s">
        <v>733</v>
      </c>
      <c r="F506" s="20" t="s">
        <v>734</v>
      </c>
      <c r="G506" s="20" t="s">
        <v>717</v>
      </c>
      <c r="H506" s="20" t="s">
        <v>718</v>
      </c>
      <c r="I506" s="21" t="s">
        <v>32</v>
      </c>
      <c r="J506" s="22" t="s">
        <v>33</v>
      </c>
      <c r="K506" s="23">
        <f>L506/1.22*1</f>
        <v>420.49180327868851</v>
      </c>
      <c r="L506" s="26">
        <v>513</v>
      </c>
      <c r="M506" s="25">
        <v>541.67999999999995</v>
      </c>
      <c r="N506" s="25">
        <f t="shared" si="7"/>
        <v>660.8495999999999</v>
      </c>
    </row>
    <row r="507" spans="2:14" ht="43.5" customHeight="1" x14ac:dyDescent="0.35">
      <c r="B507" s="20" t="s">
        <v>25</v>
      </c>
      <c r="C507" s="20" t="s">
        <v>713</v>
      </c>
      <c r="D507" s="20" t="s">
        <v>732</v>
      </c>
      <c r="E507" s="20" t="s">
        <v>733</v>
      </c>
      <c r="F507" s="20" t="s">
        <v>735</v>
      </c>
      <c r="G507" s="20" t="s">
        <v>717</v>
      </c>
      <c r="H507" s="20" t="s">
        <v>718</v>
      </c>
      <c r="I507" s="21" t="s">
        <v>32</v>
      </c>
      <c r="J507" s="22" t="s">
        <v>33</v>
      </c>
      <c r="K507" s="23">
        <f>L507/1.22*1</f>
        <v>450.81967213114757</v>
      </c>
      <c r="L507" s="26">
        <v>550</v>
      </c>
      <c r="M507" s="25">
        <v>240.04</v>
      </c>
      <c r="N507" s="25">
        <f t="shared" si="7"/>
        <v>292.84879999999998</v>
      </c>
    </row>
    <row r="508" spans="2:14" ht="43.5" customHeight="1" x14ac:dyDescent="0.35">
      <c r="B508" s="20" t="s">
        <v>25</v>
      </c>
      <c r="C508" s="20" t="s">
        <v>713</v>
      </c>
      <c r="D508" s="20" t="s">
        <v>736</v>
      </c>
      <c r="E508" s="20" t="s">
        <v>737</v>
      </c>
      <c r="F508" s="20" t="s">
        <v>738</v>
      </c>
      <c r="G508" s="20" t="s">
        <v>717</v>
      </c>
      <c r="H508" s="20" t="s">
        <v>718</v>
      </c>
      <c r="I508" s="21" t="s">
        <v>32</v>
      </c>
      <c r="J508" s="22" t="s">
        <v>33</v>
      </c>
      <c r="K508" s="23">
        <f>L508/1.22*1</f>
        <v>875.40983606557381</v>
      </c>
      <c r="L508" s="26">
        <v>1068</v>
      </c>
      <c r="M508" s="25">
        <v>676.1</v>
      </c>
      <c r="N508" s="25">
        <f t="shared" si="7"/>
        <v>824.84199999999998</v>
      </c>
    </row>
    <row r="509" spans="2:14" ht="76.5" customHeight="1" x14ac:dyDescent="0.35">
      <c r="B509" s="20" t="s">
        <v>25</v>
      </c>
      <c r="C509" s="20" t="s">
        <v>713</v>
      </c>
      <c r="D509" s="20" t="s">
        <v>736</v>
      </c>
      <c r="E509" s="20" t="s">
        <v>737</v>
      </c>
      <c r="F509" s="20" t="s">
        <v>739</v>
      </c>
      <c r="G509" s="20" t="s">
        <v>717</v>
      </c>
      <c r="H509" s="20" t="s">
        <v>718</v>
      </c>
      <c r="I509" s="21" t="s">
        <v>32</v>
      </c>
      <c r="J509" s="22" t="s">
        <v>33</v>
      </c>
      <c r="K509" s="23">
        <f>L509/1.22*1</f>
        <v>875.40983606557381</v>
      </c>
      <c r="L509" s="26">
        <v>1068</v>
      </c>
      <c r="M509" s="25">
        <v>827.74</v>
      </c>
      <c r="N509" s="25">
        <f t="shared" si="7"/>
        <v>1009.8428</v>
      </c>
    </row>
    <row r="510" spans="2:14" ht="72" x14ac:dyDescent="0.35">
      <c r="B510" s="20" t="s">
        <v>25</v>
      </c>
      <c r="C510" s="20" t="s">
        <v>713</v>
      </c>
      <c r="D510" s="20" t="s">
        <v>740</v>
      </c>
      <c r="E510" s="20" t="s">
        <v>741</v>
      </c>
      <c r="F510" s="20" t="s">
        <v>742</v>
      </c>
      <c r="G510" s="20" t="s">
        <v>717</v>
      </c>
      <c r="H510" s="20" t="s">
        <v>718</v>
      </c>
      <c r="I510" s="21" t="s">
        <v>32</v>
      </c>
      <c r="J510" s="22" t="s">
        <v>33</v>
      </c>
      <c r="K510" s="23">
        <f>L510/1.22*1</f>
        <v>399.18032786885249</v>
      </c>
      <c r="L510" s="26">
        <v>487</v>
      </c>
      <c r="M510" s="25">
        <v>886.76</v>
      </c>
      <c r="N510" s="25">
        <f t="shared" si="7"/>
        <v>1081.8471999999999</v>
      </c>
    </row>
    <row r="511" spans="2:14" ht="72" x14ac:dyDescent="0.35">
      <c r="B511" s="20" t="s">
        <v>25</v>
      </c>
      <c r="C511" s="20" t="s">
        <v>713</v>
      </c>
      <c r="D511" s="20" t="s">
        <v>740</v>
      </c>
      <c r="E511" s="20" t="s">
        <v>741</v>
      </c>
      <c r="F511" s="20" t="s">
        <v>743</v>
      </c>
      <c r="G511" s="20" t="s">
        <v>717</v>
      </c>
      <c r="H511" s="20" t="s">
        <v>718</v>
      </c>
      <c r="I511" s="21" t="s">
        <v>32</v>
      </c>
      <c r="J511" s="22" t="s">
        <v>33</v>
      </c>
      <c r="K511" s="23">
        <f>L511/1.22*1</f>
        <v>413.93442622950823</v>
      </c>
      <c r="L511" s="26">
        <v>505</v>
      </c>
      <c r="M511" s="25">
        <v>187.58</v>
      </c>
      <c r="N511" s="25">
        <f t="shared" si="7"/>
        <v>228.8476</v>
      </c>
    </row>
    <row r="512" spans="2:14" ht="72" x14ac:dyDescent="0.35">
      <c r="B512" s="20" t="s">
        <v>25</v>
      </c>
      <c r="C512" s="20" t="s">
        <v>713</v>
      </c>
      <c r="D512" s="20" t="s">
        <v>744</v>
      </c>
      <c r="E512" s="20" t="s">
        <v>745</v>
      </c>
      <c r="F512" s="20" t="s">
        <v>746</v>
      </c>
      <c r="G512" s="20" t="s">
        <v>717</v>
      </c>
      <c r="H512" s="20" t="s">
        <v>718</v>
      </c>
      <c r="I512" s="21" t="s">
        <v>32</v>
      </c>
      <c r="J512" s="22" t="s">
        <v>33</v>
      </c>
      <c r="K512" s="23">
        <f>L512/1.22*1</f>
        <v>636.88524590163934</v>
      </c>
      <c r="L512" s="26">
        <v>777</v>
      </c>
      <c r="M512" s="25">
        <v>1311.35</v>
      </c>
      <c r="N512" s="25">
        <f t="shared" si="7"/>
        <v>1599.8469999999998</v>
      </c>
    </row>
    <row r="513" spans="2:14" ht="43.5" customHeight="1" x14ac:dyDescent="0.35">
      <c r="B513" s="20" t="s">
        <v>25</v>
      </c>
      <c r="C513" s="20" t="s">
        <v>713</v>
      </c>
      <c r="D513" s="20" t="s">
        <v>747</v>
      </c>
      <c r="E513" s="20" t="s">
        <v>748</v>
      </c>
      <c r="F513" s="20" t="s">
        <v>749</v>
      </c>
      <c r="G513" s="20" t="s">
        <v>717</v>
      </c>
      <c r="H513" s="20" t="s">
        <v>718</v>
      </c>
      <c r="I513" s="21" t="s">
        <v>32</v>
      </c>
      <c r="J513" s="22" t="s">
        <v>33</v>
      </c>
      <c r="K513" s="23">
        <f>L513/1.22*1</f>
        <v>625.40983606557381</v>
      </c>
      <c r="L513" s="26">
        <v>763</v>
      </c>
      <c r="M513" s="25">
        <v>942.5</v>
      </c>
      <c r="N513" s="25">
        <f t="shared" si="7"/>
        <v>1149.8499999999999</v>
      </c>
    </row>
    <row r="514" spans="2:14" ht="43.5" customHeight="1" x14ac:dyDescent="0.35">
      <c r="B514" s="20" t="s">
        <v>25</v>
      </c>
      <c r="C514" s="20" t="s">
        <v>713</v>
      </c>
      <c r="D514" s="20" t="s">
        <v>747</v>
      </c>
      <c r="E514" s="20" t="s">
        <v>748</v>
      </c>
      <c r="F514" s="20" t="s">
        <v>750</v>
      </c>
      <c r="G514" s="20" t="s">
        <v>717</v>
      </c>
      <c r="H514" s="20" t="s">
        <v>718</v>
      </c>
      <c r="I514" s="21" t="s">
        <v>32</v>
      </c>
      <c r="J514" s="22" t="s">
        <v>33</v>
      </c>
      <c r="K514" s="23">
        <f>L514/1.22*1</f>
        <v>426.22950819672133</v>
      </c>
      <c r="L514" s="26">
        <v>520</v>
      </c>
      <c r="M514" s="25">
        <v>726.92</v>
      </c>
      <c r="N514" s="25">
        <f t="shared" si="7"/>
        <v>886.84239999999988</v>
      </c>
    </row>
    <row r="515" spans="2:14" ht="43.5" customHeight="1" x14ac:dyDescent="0.35">
      <c r="B515" s="20" t="s">
        <v>25</v>
      </c>
      <c r="C515" s="20" t="s">
        <v>713</v>
      </c>
      <c r="D515" s="20" t="s">
        <v>747</v>
      </c>
      <c r="E515" s="20" t="s">
        <v>748</v>
      </c>
      <c r="F515" s="20" t="s">
        <v>751</v>
      </c>
      <c r="G515" s="20" t="s">
        <v>717</v>
      </c>
      <c r="H515" s="20" t="s">
        <v>718</v>
      </c>
      <c r="I515" s="21" t="s">
        <v>32</v>
      </c>
      <c r="J515" s="22" t="s">
        <v>33</v>
      </c>
      <c r="K515" s="23">
        <f>L515/1.22*1</f>
        <v>461.47540983606558</v>
      </c>
      <c r="L515" s="26">
        <v>563</v>
      </c>
      <c r="M515" s="25">
        <v>431.02</v>
      </c>
      <c r="N515" s="25">
        <f t="shared" si="7"/>
        <v>525.84439999999995</v>
      </c>
    </row>
    <row r="516" spans="2:14" ht="43.5" customHeight="1" x14ac:dyDescent="0.35">
      <c r="B516" s="20" t="s">
        <v>25</v>
      </c>
      <c r="C516" s="20" t="s">
        <v>713</v>
      </c>
      <c r="D516" s="20" t="s">
        <v>752</v>
      </c>
      <c r="E516" s="20" t="s">
        <v>753</v>
      </c>
      <c r="F516" s="20" t="s">
        <v>754</v>
      </c>
      <c r="G516" s="20" t="s">
        <v>717</v>
      </c>
      <c r="H516" s="20" t="s">
        <v>718</v>
      </c>
      <c r="I516" s="21" t="s">
        <v>32</v>
      </c>
      <c r="J516" s="22" t="s">
        <v>33</v>
      </c>
      <c r="K516" s="23">
        <f>L516/1.22*1</f>
        <v>372.95081967213116</v>
      </c>
      <c r="L516" s="26">
        <v>455</v>
      </c>
      <c r="M516" s="25">
        <v>237.58</v>
      </c>
      <c r="N516" s="25">
        <f t="shared" si="7"/>
        <v>289.8476</v>
      </c>
    </row>
    <row r="517" spans="2:14" ht="43.5" customHeight="1" x14ac:dyDescent="0.35">
      <c r="B517" s="20" t="s">
        <v>25</v>
      </c>
      <c r="C517" s="20" t="s">
        <v>713</v>
      </c>
      <c r="D517" s="20" t="s">
        <v>755</v>
      </c>
      <c r="E517" s="20" t="s">
        <v>756</v>
      </c>
      <c r="F517" s="20" t="s">
        <v>757</v>
      </c>
      <c r="G517" s="20" t="s">
        <v>717</v>
      </c>
      <c r="H517" s="20" t="s">
        <v>718</v>
      </c>
      <c r="I517" s="21" t="s">
        <v>32</v>
      </c>
      <c r="J517" s="22" t="s">
        <v>33</v>
      </c>
      <c r="K517" s="23">
        <f>L517/1.22*1</f>
        <v>859.8360655737705</v>
      </c>
      <c r="L517" s="26">
        <v>1049</v>
      </c>
      <c r="M517" s="25">
        <v>196.59</v>
      </c>
      <c r="N517" s="25">
        <f t="shared" si="7"/>
        <v>239.8398</v>
      </c>
    </row>
    <row r="518" spans="2:14" ht="43.5" customHeight="1" x14ac:dyDescent="0.35">
      <c r="B518" s="20" t="s">
        <v>25</v>
      </c>
      <c r="C518" s="20" t="s">
        <v>713</v>
      </c>
      <c r="D518" s="20" t="s">
        <v>758</v>
      </c>
      <c r="E518" s="20" t="s">
        <v>759</v>
      </c>
      <c r="F518" s="20" t="s">
        <v>760</v>
      </c>
      <c r="G518" s="20" t="s">
        <v>717</v>
      </c>
      <c r="H518" s="20" t="s">
        <v>718</v>
      </c>
      <c r="I518" s="21" t="s">
        <v>32</v>
      </c>
      <c r="J518" s="22" t="s">
        <v>33</v>
      </c>
      <c r="K518" s="23">
        <f>L518/1.22*1</f>
        <v>398.36065573770492</v>
      </c>
      <c r="L518" s="26">
        <v>486</v>
      </c>
      <c r="M518" s="25">
        <v>194.95</v>
      </c>
      <c r="N518" s="25">
        <f t="shared" si="7"/>
        <v>237.83899999999997</v>
      </c>
    </row>
    <row r="519" spans="2:14" ht="43.5" customHeight="1" x14ac:dyDescent="0.35">
      <c r="B519" s="20" t="s">
        <v>25</v>
      </c>
      <c r="C519" s="20" t="s">
        <v>713</v>
      </c>
      <c r="D519" s="20" t="s">
        <v>761</v>
      </c>
      <c r="E519" s="20" t="s">
        <v>762</v>
      </c>
      <c r="F519" s="20" t="s">
        <v>763</v>
      </c>
      <c r="G519" s="20" t="s">
        <v>717</v>
      </c>
      <c r="H519" s="20" t="s">
        <v>718</v>
      </c>
      <c r="I519" s="21" t="s">
        <v>32</v>
      </c>
      <c r="J519" s="22" t="s">
        <v>33</v>
      </c>
      <c r="K519" s="23">
        <f>L519/1.22*1</f>
        <v>436.06557377049182</v>
      </c>
      <c r="L519" s="26">
        <v>532</v>
      </c>
      <c r="M519" s="25">
        <v>187.58</v>
      </c>
      <c r="N519" s="25">
        <f t="shared" si="7"/>
        <v>228.8476</v>
      </c>
    </row>
    <row r="520" spans="2:14" ht="43.5" customHeight="1" x14ac:dyDescent="0.35">
      <c r="B520" s="20" t="s">
        <v>25</v>
      </c>
      <c r="C520" s="20" t="s">
        <v>713</v>
      </c>
      <c r="D520" s="20" t="s">
        <v>761</v>
      </c>
      <c r="E520" s="20" t="s">
        <v>762</v>
      </c>
      <c r="F520" s="20" t="s">
        <v>764</v>
      </c>
      <c r="G520" s="20" t="s">
        <v>717</v>
      </c>
      <c r="H520" s="20" t="s">
        <v>718</v>
      </c>
      <c r="I520" s="21" t="s">
        <v>32</v>
      </c>
      <c r="J520" s="22" t="s">
        <v>33</v>
      </c>
      <c r="K520" s="23">
        <f>L520/1.22*1</f>
        <v>453.27868852459017</v>
      </c>
      <c r="L520" s="26">
        <v>553</v>
      </c>
      <c r="M520" s="25">
        <v>485.94</v>
      </c>
      <c r="N520" s="25">
        <f t="shared" si="7"/>
        <v>592.84680000000003</v>
      </c>
    </row>
    <row r="521" spans="2:14" ht="43.5" customHeight="1" x14ac:dyDescent="0.35">
      <c r="B521" s="20" t="s">
        <v>25</v>
      </c>
      <c r="C521" s="20" t="s">
        <v>713</v>
      </c>
      <c r="D521" s="20" t="s">
        <v>765</v>
      </c>
      <c r="E521" s="20" t="s">
        <v>766</v>
      </c>
      <c r="F521" s="20" t="s">
        <v>767</v>
      </c>
      <c r="G521" s="20" t="s">
        <v>717</v>
      </c>
      <c r="H521" s="20" t="s">
        <v>718</v>
      </c>
      <c r="I521" s="21" t="s">
        <v>32</v>
      </c>
      <c r="J521" s="22" t="s">
        <v>33</v>
      </c>
      <c r="K521" s="23">
        <f>L521/1.22*1</f>
        <v>533.60655737704917</v>
      </c>
      <c r="L521" s="26">
        <v>651</v>
      </c>
      <c r="M521" s="25">
        <v>395.77</v>
      </c>
      <c r="N521" s="25">
        <f t="shared" si="7"/>
        <v>482.83939999999996</v>
      </c>
    </row>
    <row r="522" spans="2:14" ht="43.5" customHeight="1" x14ac:dyDescent="0.35">
      <c r="B522" s="20" t="s">
        <v>25</v>
      </c>
      <c r="C522" s="20" t="s">
        <v>713</v>
      </c>
      <c r="D522" s="20" t="s">
        <v>768</v>
      </c>
      <c r="E522" s="20" t="s">
        <v>769</v>
      </c>
      <c r="F522" s="20" t="s">
        <v>770</v>
      </c>
      <c r="G522" s="20" t="s">
        <v>717</v>
      </c>
      <c r="H522" s="20" t="s">
        <v>718</v>
      </c>
      <c r="I522" s="21" t="s">
        <v>32</v>
      </c>
      <c r="J522" s="22" t="s">
        <v>33</v>
      </c>
      <c r="K522" s="23">
        <f>L522/1.22*1</f>
        <v>553.27868852459017</v>
      </c>
      <c r="L522" s="26">
        <v>675</v>
      </c>
      <c r="M522" s="25">
        <v>329.38</v>
      </c>
      <c r="N522" s="25">
        <f t="shared" ref="N522:N585" si="8">M522*1.22</f>
        <v>401.84359999999998</v>
      </c>
    </row>
    <row r="523" spans="2:14" ht="43.5" customHeight="1" x14ac:dyDescent="0.35">
      <c r="B523" s="20" t="s">
        <v>25</v>
      </c>
      <c r="C523" s="20" t="s">
        <v>713</v>
      </c>
      <c r="D523" s="20" t="s">
        <v>771</v>
      </c>
      <c r="E523" s="20" t="s">
        <v>772</v>
      </c>
      <c r="F523" s="20" t="s">
        <v>773</v>
      </c>
      <c r="G523" s="20" t="s">
        <v>717</v>
      </c>
      <c r="H523" s="20" t="s">
        <v>718</v>
      </c>
      <c r="I523" s="21" t="s">
        <v>32</v>
      </c>
      <c r="J523" s="22" t="s">
        <v>33</v>
      </c>
      <c r="K523" s="23">
        <f>L523/1.22*1</f>
        <v>818.03278688524597</v>
      </c>
      <c r="L523" s="26">
        <v>998</v>
      </c>
      <c r="M523" s="25">
        <v>226.92</v>
      </c>
      <c r="N523" s="25">
        <f t="shared" si="8"/>
        <v>276.8424</v>
      </c>
    </row>
    <row r="524" spans="2:14" ht="43.5" customHeight="1" x14ac:dyDescent="0.35">
      <c r="B524" s="20" t="s">
        <v>25</v>
      </c>
      <c r="C524" s="20" t="s">
        <v>713</v>
      </c>
      <c r="D524" s="20" t="s">
        <v>774</v>
      </c>
      <c r="E524" s="20" t="s">
        <v>775</v>
      </c>
      <c r="F524" s="20" t="s">
        <v>776</v>
      </c>
      <c r="G524" s="20" t="s">
        <v>717</v>
      </c>
      <c r="H524" s="20" t="s">
        <v>718</v>
      </c>
      <c r="I524" s="21" t="s">
        <v>32</v>
      </c>
      <c r="J524" s="22" t="s">
        <v>33</v>
      </c>
      <c r="K524" s="23">
        <f>L524/1.22*1</f>
        <v>914.7540983606558</v>
      </c>
      <c r="L524" s="26">
        <v>1116</v>
      </c>
      <c r="M524" s="25">
        <v>160.53</v>
      </c>
      <c r="N524" s="25">
        <f t="shared" si="8"/>
        <v>195.8466</v>
      </c>
    </row>
    <row r="525" spans="2:14" ht="43.5" customHeight="1" x14ac:dyDescent="0.35">
      <c r="B525" s="20" t="s">
        <v>25</v>
      </c>
      <c r="C525" s="20" t="s">
        <v>713</v>
      </c>
      <c r="D525" s="20" t="s">
        <v>774</v>
      </c>
      <c r="E525" s="20" t="s">
        <v>775</v>
      </c>
      <c r="F525" s="20" t="s">
        <v>777</v>
      </c>
      <c r="G525" s="20" t="s">
        <v>717</v>
      </c>
      <c r="H525" s="20" t="s">
        <v>718</v>
      </c>
      <c r="I525" s="21" t="s">
        <v>32</v>
      </c>
      <c r="J525" s="22" t="s">
        <v>33</v>
      </c>
      <c r="K525" s="23">
        <f>L525/1.22*1</f>
        <v>936.88524590163934</v>
      </c>
      <c r="L525" s="26">
        <v>1143</v>
      </c>
      <c r="M525" s="25">
        <v>3030.2</v>
      </c>
      <c r="N525" s="25">
        <f t="shared" si="8"/>
        <v>3696.8439999999996</v>
      </c>
    </row>
    <row r="526" spans="2:14" ht="43.5" customHeight="1" x14ac:dyDescent="0.35">
      <c r="B526" s="20" t="s">
        <v>25</v>
      </c>
      <c r="C526" s="20" t="s">
        <v>713</v>
      </c>
      <c r="D526" s="20" t="s">
        <v>778</v>
      </c>
      <c r="E526" s="20" t="s">
        <v>779</v>
      </c>
      <c r="F526" s="20" t="s">
        <v>780</v>
      </c>
      <c r="G526" s="20" t="s">
        <v>717</v>
      </c>
      <c r="H526" s="20" t="s">
        <v>718</v>
      </c>
      <c r="I526" s="21" t="s">
        <v>32</v>
      </c>
      <c r="J526" s="22" t="s">
        <v>33</v>
      </c>
      <c r="K526" s="23">
        <f>L526/1.22*1</f>
        <v>496.72131147540983</v>
      </c>
      <c r="L526" s="26">
        <v>606</v>
      </c>
      <c r="M526" s="25">
        <v>1715.45</v>
      </c>
      <c r="N526" s="25">
        <f t="shared" si="8"/>
        <v>2092.8490000000002</v>
      </c>
    </row>
    <row r="527" spans="2:14" ht="43.5" customHeight="1" x14ac:dyDescent="0.35">
      <c r="B527" s="20" t="s">
        <v>25</v>
      </c>
      <c r="C527" s="20" t="s">
        <v>713</v>
      </c>
      <c r="D527" s="20" t="s">
        <v>778</v>
      </c>
      <c r="E527" s="20" t="s">
        <v>779</v>
      </c>
      <c r="F527" s="20" t="s">
        <v>781</v>
      </c>
      <c r="G527" s="20" t="s">
        <v>717</v>
      </c>
      <c r="H527" s="20" t="s">
        <v>718</v>
      </c>
      <c r="I527" s="21" t="s">
        <v>32</v>
      </c>
      <c r="J527" s="22" t="s">
        <v>33</v>
      </c>
      <c r="K527" s="23">
        <f>L527/1.22*1</f>
        <v>430.32786885245901</v>
      </c>
      <c r="L527" s="26">
        <v>525</v>
      </c>
      <c r="M527" s="25">
        <v>1218.72</v>
      </c>
      <c r="N527" s="25">
        <f t="shared" si="8"/>
        <v>1486.8384000000001</v>
      </c>
    </row>
    <row r="528" spans="2:14" ht="43.5" customHeight="1" x14ac:dyDescent="0.35">
      <c r="B528" s="20" t="s">
        <v>25</v>
      </c>
      <c r="C528" s="20" t="s">
        <v>713</v>
      </c>
      <c r="D528" s="20" t="s">
        <v>778</v>
      </c>
      <c r="E528" s="20" t="s">
        <v>779</v>
      </c>
      <c r="F528" s="20" t="s">
        <v>782</v>
      </c>
      <c r="G528" s="20" t="s">
        <v>717</v>
      </c>
      <c r="H528" s="20" t="s">
        <v>718</v>
      </c>
      <c r="I528" s="21" t="s">
        <v>32</v>
      </c>
      <c r="J528" s="22" t="s">
        <v>33</v>
      </c>
      <c r="K528" s="23">
        <f>L528/1.22*1</f>
        <v>445.90163934426232</v>
      </c>
      <c r="L528" s="26">
        <v>544</v>
      </c>
      <c r="M528" s="25">
        <v>923.64</v>
      </c>
      <c r="N528" s="25">
        <f t="shared" si="8"/>
        <v>1126.8407999999999</v>
      </c>
    </row>
    <row r="529" spans="2:14" ht="43.5" customHeight="1" x14ac:dyDescent="0.35">
      <c r="B529" s="20" t="s">
        <v>25</v>
      </c>
      <c r="C529" s="20" t="s">
        <v>713</v>
      </c>
      <c r="D529" s="20" t="s">
        <v>783</v>
      </c>
      <c r="E529" s="20" t="s">
        <v>784</v>
      </c>
      <c r="F529" s="20" t="s">
        <v>785</v>
      </c>
      <c r="G529" s="20" t="s">
        <v>717</v>
      </c>
      <c r="H529" s="20" t="s">
        <v>718</v>
      </c>
      <c r="I529" s="21" t="s">
        <v>32</v>
      </c>
      <c r="J529" s="22" t="s">
        <v>33</v>
      </c>
      <c r="K529" s="23">
        <f>L529/1.22*1</f>
        <v>777.86885245901647</v>
      </c>
      <c r="L529" s="26">
        <v>949</v>
      </c>
      <c r="M529" s="25">
        <v>440.86</v>
      </c>
      <c r="N529" s="25">
        <f t="shared" si="8"/>
        <v>537.8492</v>
      </c>
    </row>
    <row r="530" spans="2:14" ht="43.5" customHeight="1" x14ac:dyDescent="0.35">
      <c r="B530" s="20" t="s">
        <v>25</v>
      </c>
      <c r="C530" s="20" t="s">
        <v>713</v>
      </c>
      <c r="D530" s="20" t="s">
        <v>783</v>
      </c>
      <c r="E530" s="20" t="s">
        <v>784</v>
      </c>
      <c r="F530" s="20" t="s">
        <v>786</v>
      </c>
      <c r="G530" s="20" t="s">
        <v>717</v>
      </c>
      <c r="H530" s="20" t="s">
        <v>718</v>
      </c>
      <c r="I530" s="21" t="s">
        <v>32</v>
      </c>
      <c r="J530" s="22" t="s">
        <v>33</v>
      </c>
      <c r="K530" s="23">
        <f>L530/1.22*1</f>
        <v>785.24590163934431</v>
      </c>
      <c r="L530" s="26">
        <v>958</v>
      </c>
      <c r="M530" s="25">
        <v>148.22999999999999</v>
      </c>
      <c r="N530" s="25">
        <f t="shared" si="8"/>
        <v>180.84059999999999</v>
      </c>
    </row>
    <row r="531" spans="2:14" ht="43.5" customHeight="1" x14ac:dyDescent="0.35">
      <c r="B531" s="20" t="s">
        <v>25</v>
      </c>
      <c r="C531" s="20" t="s">
        <v>713</v>
      </c>
      <c r="D531" s="20" t="s">
        <v>787</v>
      </c>
      <c r="E531" s="20" t="s">
        <v>788</v>
      </c>
      <c r="F531" s="20" t="s">
        <v>789</v>
      </c>
      <c r="G531" s="20" t="s">
        <v>717</v>
      </c>
      <c r="H531" s="20" t="s">
        <v>718</v>
      </c>
      <c r="I531" s="21" t="s">
        <v>32</v>
      </c>
      <c r="J531" s="22" t="s">
        <v>33</v>
      </c>
      <c r="K531" s="23">
        <f>L531/1.22*1</f>
        <v>597.54098360655735</v>
      </c>
      <c r="L531" s="26">
        <v>729</v>
      </c>
      <c r="M531" s="25">
        <v>110.53</v>
      </c>
      <c r="N531" s="25">
        <f t="shared" si="8"/>
        <v>134.8466</v>
      </c>
    </row>
    <row r="532" spans="2:14" ht="43.5" customHeight="1" x14ac:dyDescent="0.35">
      <c r="B532" s="20" t="s">
        <v>25</v>
      </c>
      <c r="C532" s="20" t="s">
        <v>713</v>
      </c>
      <c r="D532" s="20" t="s">
        <v>787</v>
      </c>
      <c r="E532" s="20" t="s">
        <v>788</v>
      </c>
      <c r="F532" s="20" t="s">
        <v>790</v>
      </c>
      <c r="G532" s="20" t="s">
        <v>717</v>
      </c>
      <c r="H532" s="20" t="s">
        <v>718</v>
      </c>
      <c r="I532" s="21" t="s">
        <v>32</v>
      </c>
      <c r="J532" s="22" t="s">
        <v>33</v>
      </c>
      <c r="K532" s="23">
        <f>L532/1.22*1</f>
        <v>597.54098360655735</v>
      </c>
      <c r="L532" s="26">
        <v>729</v>
      </c>
      <c r="M532" s="25">
        <v>145.77000000000001</v>
      </c>
      <c r="N532" s="25">
        <f t="shared" si="8"/>
        <v>177.83940000000001</v>
      </c>
    </row>
    <row r="533" spans="2:14" ht="43.5" customHeight="1" x14ac:dyDescent="0.35">
      <c r="B533" s="20" t="s">
        <v>25</v>
      </c>
      <c r="C533" s="20" t="s">
        <v>713</v>
      </c>
      <c r="D533" s="20" t="s">
        <v>791</v>
      </c>
      <c r="E533" s="20" t="s">
        <v>792</v>
      </c>
      <c r="F533" s="20" t="s">
        <v>793</v>
      </c>
      <c r="G533" s="20" t="s">
        <v>717</v>
      </c>
      <c r="H533" s="20" t="s">
        <v>718</v>
      </c>
      <c r="I533" s="21" t="s">
        <v>32</v>
      </c>
      <c r="J533" s="22" t="s">
        <v>33</v>
      </c>
      <c r="K533" s="23">
        <f>L533/1.22*1</f>
        <v>491.80327868852459</v>
      </c>
      <c r="L533" s="26">
        <v>600</v>
      </c>
      <c r="M533" s="25">
        <v>235.94</v>
      </c>
      <c r="N533" s="25">
        <f t="shared" si="8"/>
        <v>287.84679999999997</v>
      </c>
    </row>
    <row r="534" spans="2:14" ht="43.5" customHeight="1" x14ac:dyDescent="0.35">
      <c r="B534" s="20" t="s">
        <v>25</v>
      </c>
      <c r="C534" s="20" t="s">
        <v>713</v>
      </c>
      <c r="D534" s="20" t="s">
        <v>791</v>
      </c>
      <c r="E534" s="20" t="s">
        <v>792</v>
      </c>
      <c r="F534" s="20" t="s">
        <v>793</v>
      </c>
      <c r="G534" s="20" t="s">
        <v>717</v>
      </c>
      <c r="H534" s="20" t="s">
        <v>718</v>
      </c>
      <c r="I534" s="21" t="s">
        <v>32</v>
      </c>
      <c r="J534" s="22" t="s">
        <v>33</v>
      </c>
      <c r="K534" s="23">
        <f>L534/1.22*1</f>
        <v>302.45901639344265</v>
      </c>
      <c r="L534" s="26">
        <v>369</v>
      </c>
      <c r="M534" s="25">
        <v>231.84</v>
      </c>
      <c r="N534" s="25">
        <f t="shared" si="8"/>
        <v>282.84480000000002</v>
      </c>
    </row>
    <row r="535" spans="2:14" ht="43.5" customHeight="1" x14ac:dyDescent="0.35">
      <c r="B535" s="20" t="s">
        <v>25</v>
      </c>
      <c r="C535" s="20" t="s">
        <v>713</v>
      </c>
      <c r="D535" s="20" t="s">
        <v>791</v>
      </c>
      <c r="E535" s="20" t="s">
        <v>792</v>
      </c>
      <c r="F535" s="20" t="s">
        <v>794</v>
      </c>
      <c r="G535" s="20" t="s">
        <v>717</v>
      </c>
      <c r="H535" s="20" t="s">
        <v>718</v>
      </c>
      <c r="I535" s="21" t="s">
        <v>32</v>
      </c>
      <c r="J535" s="22" t="s">
        <v>33</v>
      </c>
      <c r="K535" s="23">
        <f>L535/1.22*1</f>
        <v>1113.1147540983607</v>
      </c>
      <c r="L535" s="26">
        <v>1358</v>
      </c>
      <c r="M535" s="25">
        <v>249.05</v>
      </c>
      <c r="N535" s="25">
        <f t="shared" si="8"/>
        <v>303.84100000000001</v>
      </c>
    </row>
    <row r="536" spans="2:14" ht="43.5" customHeight="1" x14ac:dyDescent="0.35">
      <c r="B536" s="20" t="s">
        <v>25</v>
      </c>
      <c r="C536" s="20" t="s">
        <v>713</v>
      </c>
      <c r="D536" s="20" t="s">
        <v>791</v>
      </c>
      <c r="E536" s="20" t="s">
        <v>792</v>
      </c>
      <c r="F536" s="20" t="s">
        <v>795</v>
      </c>
      <c r="G536" s="20" t="s">
        <v>717</v>
      </c>
      <c r="H536" s="20" t="s">
        <v>718</v>
      </c>
      <c r="I536" s="21" t="s">
        <v>32</v>
      </c>
      <c r="J536" s="22" t="s">
        <v>33</v>
      </c>
      <c r="K536" s="23">
        <f>L536/1.22*1</f>
        <v>539.34426229508199</v>
      </c>
      <c r="L536" s="26">
        <v>658</v>
      </c>
      <c r="M536" s="25">
        <v>652.33000000000004</v>
      </c>
      <c r="N536" s="25">
        <f t="shared" si="8"/>
        <v>795.84260000000006</v>
      </c>
    </row>
    <row r="537" spans="2:14" ht="43.5" customHeight="1" x14ac:dyDescent="0.35">
      <c r="B537" s="20" t="s">
        <v>25</v>
      </c>
      <c r="C537" s="20" t="s">
        <v>713</v>
      </c>
      <c r="D537" s="20" t="s">
        <v>796</v>
      </c>
      <c r="E537" s="20" t="s">
        <v>797</v>
      </c>
      <c r="F537" s="20" t="s">
        <v>798</v>
      </c>
      <c r="G537" s="20" t="s">
        <v>717</v>
      </c>
      <c r="H537" s="20" t="s">
        <v>718</v>
      </c>
      <c r="I537" s="21" t="s">
        <v>32</v>
      </c>
      <c r="J537" s="22" t="s">
        <v>33</v>
      </c>
      <c r="K537" s="23">
        <f>L537/1.22*1</f>
        <v>426.22950819672133</v>
      </c>
      <c r="L537" s="26">
        <v>520</v>
      </c>
      <c r="M537" s="25">
        <v>465.45</v>
      </c>
      <c r="N537" s="25">
        <f t="shared" si="8"/>
        <v>567.84899999999993</v>
      </c>
    </row>
    <row r="538" spans="2:14" ht="43.5" customHeight="1" x14ac:dyDescent="0.35">
      <c r="B538" s="20" t="s">
        <v>25</v>
      </c>
      <c r="C538" s="20" t="s">
        <v>713</v>
      </c>
      <c r="D538" s="20" t="s">
        <v>799</v>
      </c>
      <c r="E538" s="20" t="s">
        <v>800</v>
      </c>
      <c r="F538" s="20" t="s">
        <v>801</v>
      </c>
      <c r="G538" s="20" t="s">
        <v>717</v>
      </c>
      <c r="H538" s="20" t="s">
        <v>718</v>
      </c>
      <c r="I538" s="21" t="s">
        <v>32</v>
      </c>
      <c r="J538" s="22" t="s">
        <v>33</v>
      </c>
      <c r="K538" s="23">
        <f>L538/1.22*1</f>
        <v>366.39344262295083</v>
      </c>
      <c r="L538" s="26">
        <v>447</v>
      </c>
      <c r="M538" s="25">
        <v>320.36</v>
      </c>
      <c r="N538" s="25">
        <f t="shared" si="8"/>
        <v>390.83920000000001</v>
      </c>
    </row>
    <row r="539" spans="2:14" ht="43.5" customHeight="1" x14ac:dyDescent="0.35">
      <c r="B539" s="20" t="s">
        <v>25</v>
      </c>
      <c r="C539" s="20" t="s">
        <v>713</v>
      </c>
      <c r="D539" s="20" t="s">
        <v>802</v>
      </c>
      <c r="E539" s="20" t="s">
        <v>803</v>
      </c>
      <c r="F539" s="20" t="s">
        <v>804</v>
      </c>
      <c r="G539" s="20" t="s">
        <v>717</v>
      </c>
      <c r="H539" s="20" t="s">
        <v>718</v>
      </c>
      <c r="I539" s="21" t="s">
        <v>32</v>
      </c>
      <c r="J539" s="22" t="s">
        <v>33</v>
      </c>
      <c r="K539" s="23">
        <f>L539/1.22*1</f>
        <v>523.77049180327867</v>
      </c>
      <c r="L539" s="26">
        <v>639</v>
      </c>
      <c r="M539" s="25">
        <v>242.5</v>
      </c>
      <c r="N539" s="25">
        <f t="shared" si="8"/>
        <v>295.84999999999997</v>
      </c>
    </row>
    <row r="540" spans="2:14" ht="43.5" customHeight="1" x14ac:dyDescent="0.35">
      <c r="B540" s="20" t="s">
        <v>25</v>
      </c>
      <c r="C540" s="20" t="s">
        <v>713</v>
      </c>
      <c r="D540" s="20" t="s">
        <v>805</v>
      </c>
      <c r="E540" s="20" t="s">
        <v>806</v>
      </c>
      <c r="F540" s="20" t="s">
        <v>807</v>
      </c>
      <c r="G540" s="20" t="s">
        <v>717</v>
      </c>
      <c r="H540" s="20" t="s">
        <v>718</v>
      </c>
      <c r="I540" s="21" t="s">
        <v>32</v>
      </c>
      <c r="J540" s="22" t="s">
        <v>33</v>
      </c>
      <c r="K540" s="23">
        <f>L540/1.22*1</f>
        <v>472.95081967213116</v>
      </c>
      <c r="L540" s="26">
        <v>577</v>
      </c>
      <c r="M540" s="25">
        <v>180.2</v>
      </c>
      <c r="N540" s="25">
        <f t="shared" si="8"/>
        <v>219.84399999999999</v>
      </c>
    </row>
    <row r="541" spans="2:14" ht="43.5" customHeight="1" x14ac:dyDescent="0.35">
      <c r="B541" s="20" t="s">
        <v>25</v>
      </c>
      <c r="C541" s="20" t="s">
        <v>713</v>
      </c>
      <c r="D541" s="20" t="s">
        <v>805</v>
      </c>
      <c r="E541" s="20" t="s">
        <v>806</v>
      </c>
      <c r="F541" s="20" t="s">
        <v>808</v>
      </c>
      <c r="G541" s="20" t="s">
        <v>717</v>
      </c>
      <c r="H541" s="20" t="s">
        <v>718</v>
      </c>
      <c r="I541" s="21" t="s">
        <v>32</v>
      </c>
      <c r="J541" s="22" t="s">
        <v>33</v>
      </c>
      <c r="K541" s="23">
        <f>L541/1.22*1</f>
        <v>468.03278688524591</v>
      </c>
      <c r="L541" s="26">
        <v>571</v>
      </c>
      <c r="M541" s="25">
        <v>246.59</v>
      </c>
      <c r="N541" s="25">
        <f t="shared" si="8"/>
        <v>300.83980000000003</v>
      </c>
    </row>
    <row r="542" spans="2:14" ht="43.5" customHeight="1" x14ac:dyDescent="0.35">
      <c r="B542" s="20" t="s">
        <v>25</v>
      </c>
      <c r="C542" s="20" t="s">
        <v>713</v>
      </c>
      <c r="D542" s="20" t="s">
        <v>809</v>
      </c>
      <c r="E542" s="20" t="s">
        <v>810</v>
      </c>
      <c r="F542" s="20" t="s">
        <v>811</v>
      </c>
      <c r="G542" s="20" t="s">
        <v>717</v>
      </c>
      <c r="H542" s="20" t="s">
        <v>718</v>
      </c>
      <c r="I542" s="21" t="s">
        <v>32</v>
      </c>
      <c r="J542" s="22" t="s">
        <v>33</v>
      </c>
      <c r="K542" s="23">
        <f>L542/1.22*1</f>
        <v>373.77049180327867</v>
      </c>
      <c r="L542" s="26">
        <v>456</v>
      </c>
      <c r="M542" s="25">
        <v>267.08999999999997</v>
      </c>
      <c r="N542" s="25">
        <f t="shared" si="8"/>
        <v>325.84979999999996</v>
      </c>
    </row>
    <row r="543" spans="2:14" ht="43.5" customHeight="1" x14ac:dyDescent="0.35">
      <c r="B543" s="20" t="s">
        <v>25</v>
      </c>
      <c r="C543" s="20" t="s">
        <v>713</v>
      </c>
      <c r="D543" s="20" t="s">
        <v>812</v>
      </c>
      <c r="E543" s="20" t="s">
        <v>813</v>
      </c>
      <c r="F543" s="35" t="s">
        <v>814</v>
      </c>
      <c r="G543" s="20" t="s">
        <v>717</v>
      </c>
      <c r="H543" s="20" t="s">
        <v>718</v>
      </c>
      <c r="I543" s="21" t="s">
        <v>32</v>
      </c>
      <c r="J543" s="22" t="s">
        <v>33</v>
      </c>
      <c r="K543" s="23">
        <f>L543/1.22*1</f>
        <v>440.1639344262295</v>
      </c>
      <c r="L543" s="26">
        <v>537</v>
      </c>
      <c r="M543" s="25">
        <v>233.48</v>
      </c>
      <c r="N543" s="25">
        <f t="shared" si="8"/>
        <v>284.84559999999999</v>
      </c>
    </row>
    <row r="544" spans="2:14" ht="43.5" customHeight="1" x14ac:dyDescent="0.35">
      <c r="B544" s="20" t="s">
        <v>25</v>
      </c>
      <c r="C544" s="20" t="s">
        <v>713</v>
      </c>
      <c r="D544" s="20" t="s">
        <v>815</v>
      </c>
      <c r="E544" s="20" t="s">
        <v>816</v>
      </c>
      <c r="F544" s="35" t="s">
        <v>817</v>
      </c>
      <c r="G544" s="20" t="s">
        <v>717</v>
      </c>
      <c r="H544" s="20" t="s">
        <v>718</v>
      </c>
      <c r="I544" s="21" t="s">
        <v>32</v>
      </c>
      <c r="J544" s="22" t="s">
        <v>33</v>
      </c>
      <c r="K544" s="23">
        <f>L544/1.22*1</f>
        <v>957.37704918032784</v>
      </c>
      <c r="L544" s="26">
        <v>1168</v>
      </c>
      <c r="M544" s="25">
        <v>262.17</v>
      </c>
      <c r="N544" s="25">
        <f t="shared" si="8"/>
        <v>319.84739999999999</v>
      </c>
    </row>
    <row r="545" spans="2:14" ht="43.5" customHeight="1" x14ac:dyDescent="0.35">
      <c r="B545" s="20" t="s">
        <v>25</v>
      </c>
      <c r="C545" s="20" t="s">
        <v>713</v>
      </c>
      <c r="D545" s="20" t="s">
        <v>818</v>
      </c>
      <c r="E545" s="20" t="s">
        <v>819</v>
      </c>
      <c r="F545" s="20" t="s">
        <v>820</v>
      </c>
      <c r="G545" s="20" t="s">
        <v>717</v>
      </c>
      <c r="H545" s="20" t="s">
        <v>718</v>
      </c>
      <c r="I545" s="21" t="s">
        <v>32</v>
      </c>
      <c r="J545" s="22" t="s">
        <v>33</v>
      </c>
      <c r="K545" s="23">
        <f>L545/1.22*1</f>
        <v>440.1639344262295</v>
      </c>
      <c r="L545" s="26">
        <v>537</v>
      </c>
      <c r="M545" s="25">
        <v>289.22000000000003</v>
      </c>
      <c r="N545" s="25">
        <f t="shared" si="8"/>
        <v>352.84840000000003</v>
      </c>
    </row>
    <row r="546" spans="2:14" ht="43.5" customHeight="1" x14ac:dyDescent="0.35">
      <c r="B546" s="20" t="s">
        <v>25</v>
      </c>
      <c r="C546" s="20" t="s">
        <v>713</v>
      </c>
      <c r="D546" s="20" t="s">
        <v>821</v>
      </c>
      <c r="E546" s="20" t="s">
        <v>822</v>
      </c>
      <c r="F546" s="20" t="s">
        <v>823</v>
      </c>
      <c r="G546" s="20" t="s">
        <v>717</v>
      </c>
      <c r="H546" s="20" t="s">
        <v>718</v>
      </c>
      <c r="I546" s="21" t="s">
        <v>32</v>
      </c>
      <c r="J546" s="22" t="s">
        <v>33</v>
      </c>
      <c r="K546" s="23">
        <f>L546/1.22*1</f>
        <v>572.95081967213116</v>
      </c>
      <c r="L546" s="26">
        <v>699</v>
      </c>
      <c r="M546" s="25">
        <v>248.23</v>
      </c>
      <c r="N546" s="25">
        <f t="shared" si="8"/>
        <v>302.84059999999999</v>
      </c>
    </row>
    <row r="547" spans="2:14" ht="43.5" customHeight="1" x14ac:dyDescent="0.35">
      <c r="B547" s="20" t="s">
        <v>25</v>
      </c>
      <c r="C547" s="20" t="s">
        <v>713</v>
      </c>
      <c r="D547" s="20" t="s">
        <v>824</v>
      </c>
      <c r="E547" s="20" t="s">
        <v>825</v>
      </c>
      <c r="F547" s="35" t="s">
        <v>826</v>
      </c>
      <c r="G547" s="20" t="s">
        <v>717</v>
      </c>
      <c r="H547" s="20" t="s">
        <v>718</v>
      </c>
      <c r="I547" s="21" t="s">
        <v>32</v>
      </c>
      <c r="J547" s="22" t="s">
        <v>33</v>
      </c>
      <c r="K547" s="23">
        <f>L547/1.22*1</f>
        <v>328.68852459016392</v>
      </c>
      <c r="L547" s="26">
        <v>401</v>
      </c>
      <c r="M547" s="25">
        <v>233.48</v>
      </c>
      <c r="N547" s="25">
        <f t="shared" si="8"/>
        <v>284.84559999999999</v>
      </c>
    </row>
    <row r="548" spans="2:14" ht="43.5" customHeight="1" x14ac:dyDescent="0.35">
      <c r="B548" s="20" t="s">
        <v>25</v>
      </c>
      <c r="C548" s="20" t="s">
        <v>713</v>
      </c>
      <c r="D548" s="20" t="s">
        <v>824</v>
      </c>
      <c r="E548" s="20" t="s">
        <v>825</v>
      </c>
      <c r="F548" s="35" t="s">
        <v>827</v>
      </c>
      <c r="G548" s="20" t="s">
        <v>717</v>
      </c>
      <c r="H548" s="20" t="s">
        <v>718</v>
      </c>
      <c r="I548" s="21" t="s">
        <v>32</v>
      </c>
      <c r="J548" s="22" t="s">
        <v>33</v>
      </c>
      <c r="K548" s="23">
        <f>L548/1.22*1</f>
        <v>301.63934426229508</v>
      </c>
      <c r="L548" s="26">
        <v>368</v>
      </c>
      <c r="M548" s="25">
        <v>246.59</v>
      </c>
      <c r="N548" s="25">
        <f t="shared" si="8"/>
        <v>300.83980000000003</v>
      </c>
    </row>
    <row r="549" spans="2:14" ht="43.5" customHeight="1" x14ac:dyDescent="0.35">
      <c r="B549" s="20" t="s">
        <v>25</v>
      </c>
      <c r="C549" s="20" t="s">
        <v>713</v>
      </c>
      <c r="D549" s="20" t="s">
        <v>828</v>
      </c>
      <c r="E549" s="20" t="s">
        <v>829</v>
      </c>
      <c r="F549" s="20" t="s">
        <v>827</v>
      </c>
      <c r="G549" s="20" t="s">
        <v>717</v>
      </c>
      <c r="H549" s="20" t="s">
        <v>718</v>
      </c>
      <c r="I549" s="21" t="s">
        <v>32</v>
      </c>
      <c r="J549" s="22" t="s">
        <v>33</v>
      </c>
      <c r="K549" s="23">
        <f>L549/1.22*1</f>
        <v>477.04918032786884</v>
      </c>
      <c r="L549" s="26">
        <v>582</v>
      </c>
      <c r="M549" s="25">
        <v>710.53</v>
      </c>
      <c r="N549" s="25">
        <f t="shared" si="8"/>
        <v>866.84659999999997</v>
      </c>
    </row>
    <row r="550" spans="2:14" ht="43.5" customHeight="1" x14ac:dyDescent="0.35">
      <c r="B550" s="20" t="s">
        <v>25</v>
      </c>
      <c r="C550" s="20" t="s">
        <v>713</v>
      </c>
      <c r="D550" s="20" t="s">
        <v>830</v>
      </c>
      <c r="E550" s="20" t="s">
        <v>831</v>
      </c>
      <c r="F550" s="20" t="s">
        <v>832</v>
      </c>
      <c r="G550" s="20" t="s">
        <v>717</v>
      </c>
      <c r="H550" s="20" t="s">
        <v>718</v>
      </c>
      <c r="I550" s="21" t="s">
        <v>32</v>
      </c>
      <c r="J550" s="22" t="s">
        <v>33</v>
      </c>
      <c r="K550" s="23">
        <f>L550/1.22*1</f>
        <v>426.22950819672133</v>
      </c>
      <c r="L550" s="26">
        <v>520</v>
      </c>
      <c r="M550" s="25">
        <v>444.95</v>
      </c>
      <c r="N550" s="25">
        <f t="shared" si="8"/>
        <v>542.83899999999994</v>
      </c>
    </row>
    <row r="551" spans="2:14" ht="43.5" customHeight="1" x14ac:dyDescent="0.35">
      <c r="B551" s="20" t="s">
        <v>25</v>
      </c>
      <c r="C551" s="20" t="s">
        <v>833</v>
      </c>
      <c r="D551" s="20" t="s">
        <v>834</v>
      </c>
      <c r="E551" s="20" t="s">
        <v>835</v>
      </c>
      <c r="F551" s="20" t="s">
        <v>836</v>
      </c>
      <c r="G551" s="20" t="s">
        <v>837</v>
      </c>
      <c r="H551" s="20" t="s">
        <v>718</v>
      </c>
      <c r="I551" s="21" t="s">
        <v>32</v>
      </c>
      <c r="J551" s="22" t="s">
        <v>33</v>
      </c>
      <c r="K551" s="23">
        <f>L551/1.22*1</f>
        <v>430.32786885245901</v>
      </c>
      <c r="L551" s="26">
        <v>525</v>
      </c>
      <c r="M551" s="25">
        <v>317.08999999999997</v>
      </c>
      <c r="N551" s="25">
        <f t="shared" si="8"/>
        <v>386.84979999999996</v>
      </c>
    </row>
    <row r="552" spans="2:14" ht="43.5" customHeight="1" x14ac:dyDescent="0.35">
      <c r="B552" s="20" t="s">
        <v>25</v>
      </c>
      <c r="C552" s="20" t="s">
        <v>833</v>
      </c>
      <c r="D552" s="20" t="s">
        <v>834</v>
      </c>
      <c r="E552" s="20" t="s">
        <v>838</v>
      </c>
      <c r="F552" s="20" t="s">
        <v>839</v>
      </c>
      <c r="G552" s="20" t="s">
        <v>840</v>
      </c>
      <c r="H552" s="20" t="s">
        <v>718</v>
      </c>
      <c r="I552" s="21" t="s">
        <v>32</v>
      </c>
      <c r="J552" s="22" t="s">
        <v>33</v>
      </c>
      <c r="K552" s="23">
        <f>L552/1.22*1</f>
        <v>461.47540983606558</v>
      </c>
      <c r="L552" s="26">
        <v>563</v>
      </c>
      <c r="M552" s="25">
        <v>184.3</v>
      </c>
      <c r="N552" s="25">
        <f t="shared" si="8"/>
        <v>224.846</v>
      </c>
    </row>
    <row r="553" spans="2:14" ht="43.5" customHeight="1" x14ac:dyDescent="0.35">
      <c r="B553" s="20" t="s">
        <v>25</v>
      </c>
      <c r="C553" s="20" t="s">
        <v>833</v>
      </c>
      <c r="D553" s="20" t="s">
        <v>834</v>
      </c>
      <c r="E553" s="20" t="s">
        <v>841</v>
      </c>
      <c r="F553" s="20" t="s">
        <v>842</v>
      </c>
      <c r="G553" s="20" t="s">
        <v>843</v>
      </c>
      <c r="H553" s="20" t="s">
        <v>718</v>
      </c>
      <c r="I553" s="21" t="s">
        <v>32</v>
      </c>
      <c r="J553" s="22" t="s">
        <v>33</v>
      </c>
      <c r="K553" s="23">
        <f>L553/1.22*1</f>
        <v>926.22950819672133</v>
      </c>
      <c r="L553" s="26">
        <v>1130</v>
      </c>
      <c r="M553" s="25">
        <v>503.97</v>
      </c>
      <c r="N553" s="25">
        <f t="shared" si="8"/>
        <v>614.84339999999997</v>
      </c>
    </row>
    <row r="554" spans="2:14" ht="43.5" customHeight="1" x14ac:dyDescent="0.35">
      <c r="B554" s="20" t="s">
        <v>25</v>
      </c>
      <c r="C554" s="20" t="s">
        <v>833</v>
      </c>
      <c r="D554" s="20" t="s">
        <v>844</v>
      </c>
      <c r="E554" s="20" t="s">
        <v>845</v>
      </c>
      <c r="F554" s="20" t="s">
        <v>846</v>
      </c>
      <c r="G554" s="20" t="s">
        <v>847</v>
      </c>
      <c r="H554" s="20" t="s">
        <v>718</v>
      </c>
      <c r="I554" s="21" t="s">
        <v>32</v>
      </c>
      <c r="J554" s="22" t="s">
        <v>33</v>
      </c>
      <c r="K554" s="23">
        <f>L554/1.22*1</f>
        <v>653.27868852459017</v>
      </c>
      <c r="L554" s="26">
        <v>797</v>
      </c>
      <c r="M554" s="25">
        <v>812.99</v>
      </c>
      <c r="N554" s="25">
        <f t="shared" si="8"/>
        <v>991.84780000000001</v>
      </c>
    </row>
    <row r="555" spans="2:14" ht="43.5" customHeight="1" x14ac:dyDescent="0.35">
      <c r="B555" s="20" t="s">
        <v>25</v>
      </c>
      <c r="C555" s="20" t="s">
        <v>833</v>
      </c>
      <c r="D555" s="20" t="s">
        <v>848</v>
      </c>
      <c r="E555" s="20" t="s">
        <v>849</v>
      </c>
      <c r="F555" s="20" t="s">
        <v>850</v>
      </c>
      <c r="G555" s="20" t="s">
        <v>851</v>
      </c>
      <c r="H555" s="20" t="s">
        <v>718</v>
      </c>
      <c r="I555" s="21" t="s">
        <v>32</v>
      </c>
      <c r="J555" s="22" t="s">
        <v>33</v>
      </c>
      <c r="K555" s="23">
        <f>L555/1.22*1</f>
        <v>668.85245901639348</v>
      </c>
      <c r="L555" s="26">
        <v>816</v>
      </c>
      <c r="M555" s="25">
        <v>566.27</v>
      </c>
      <c r="N555" s="25">
        <f t="shared" si="8"/>
        <v>690.84939999999995</v>
      </c>
    </row>
    <row r="556" spans="2:14" ht="43.5" customHeight="1" x14ac:dyDescent="0.35">
      <c r="B556" s="20" t="s">
        <v>25</v>
      </c>
      <c r="C556" s="20" t="s">
        <v>833</v>
      </c>
      <c r="D556" s="20" t="s">
        <v>848</v>
      </c>
      <c r="E556" s="20" t="s">
        <v>852</v>
      </c>
      <c r="F556" s="20" t="s">
        <v>853</v>
      </c>
      <c r="G556" s="20" t="s">
        <v>854</v>
      </c>
      <c r="H556" s="20" t="s">
        <v>718</v>
      </c>
      <c r="I556" s="21" t="s">
        <v>32</v>
      </c>
      <c r="J556" s="22" t="s">
        <v>33</v>
      </c>
      <c r="K556" s="23">
        <f>L556/1.22*1</f>
        <v>1663.9344262295083</v>
      </c>
      <c r="L556" s="26">
        <v>2030</v>
      </c>
      <c r="M556" s="25">
        <v>317.08999999999997</v>
      </c>
      <c r="N556" s="25">
        <f t="shared" si="8"/>
        <v>386.84979999999996</v>
      </c>
    </row>
    <row r="557" spans="2:14" ht="43.5" customHeight="1" x14ac:dyDescent="0.35">
      <c r="B557" s="20" t="s">
        <v>25</v>
      </c>
      <c r="C557" s="20" t="s">
        <v>833</v>
      </c>
      <c r="D557" s="20" t="s">
        <v>855</v>
      </c>
      <c r="E557" s="20" t="s">
        <v>856</v>
      </c>
      <c r="F557" s="20" t="s">
        <v>857</v>
      </c>
      <c r="G557" s="20" t="s">
        <v>837</v>
      </c>
      <c r="H557" s="20" t="s">
        <v>718</v>
      </c>
      <c r="I557" s="21" t="s">
        <v>32</v>
      </c>
      <c r="J557" s="22" t="s">
        <v>33</v>
      </c>
      <c r="K557" s="23">
        <f>L557/1.22*1</f>
        <v>1363.1147540983607</v>
      </c>
      <c r="L557" s="26">
        <v>1663</v>
      </c>
      <c r="M557" s="25">
        <v>523.64</v>
      </c>
      <c r="N557" s="25">
        <f t="shared" si="8"/>
        <v>638.84079999999994</v>
      </c>
    </row>
    <row r="558" spans="2:14" ht="43.5" customHeight="1" x14ac:dyDescent="0.35">
      <c r="B558" s="20" t="s">
        <v>25</v>
      </c>
      <c r="C558" s="20" t="s">
        <v>833</v>
      </c>
      <c r="D558" s="20" t="s">
        <v>858</v>
      </c>
      <c r="E558" s="20" t="s">
        <v>859</v>
      </c>
      <c r="F558" s="20" t="s">
        <v>860</v>
      </c>
      <c r="G558" s="20" t="s">
        <v>851</v>
      </c>
      <c r="H558" s="20" t="s">
        <v>718</v>
      </c>
      <c r="I558" s="21" t="s">
        <v>32</v>
      </c>
      <c r="J558" s="22" t="s">
        <v>33</v>
      </c>
      <c r="K558" s="23">
        <f>L558/1.22*1</f>
        <v>1804.0983606557377</v>
      </c>
      <c r="L558" s="26">
        <v>2201</v>
      </c>
      <c r="M558" s="25">
        <v>444.95</v>
      </c>
      <c r="N558" s="25">
        <f t="shared" si="8"/>
        <v>542.83899999999994</v>
      </c>
    </row>
    <row r="559" spans="2:14" ht="43.5" customHeight="1" x14ac:dyDescent="0.35">
      <c r="B559" s="20" t="s">
        <v>25</v>
      </c>
      <c r="C559" s="20" t="s">
        <v>833</v>
      </c>
      <c r="D559" s="20" t="s">
        <v>861</v>
      </c>
      <c r="E559" s="20" t="s">
        <v>862</v>
      </c>
      <c r="F559" s="20" t="s">
        <v>863</v>
      </c>
      <c r="G559" s="20" t="s">
        <v>864</v>
      </c>
      <c r="H559" s="20" t="s">
        <v>718</v>
      </c>
      <c r="I559" s="21" t="s">
        <v>32</v>
      </c>
      <c r="J559" s="22" t="s">
        <v>33</v>
      </c>
      <c r="K559" s="23">
        <f>L559/1.22*1</f>
        <v>832.78688524590166</v>
      </c>
      <c r="L559" s="26">
        <v>1016</v>
      </c>
      <c r="M559" s="25">
        <v>362.99</v>
      </c>
      <c r="N559" s="25">
        <f t="shared" si="8"/>
        <v>442.84780000000001</v>
      </c>
    </row>
    <row r="560" spans="2:14" ht="43.5" customHeight="1" x14ac:dyDescent="0.35">
      <c r="B560" s="20" t="s">
        <v>25</v>
      </c>
      <c r="C560" s="20" t="s">
        <v>833</v>
      </c>
      <c r="D560" s="20" t="s">
        <v>861</v>
      </c>
      <c r="E560" s="20" t="s">
        <v>865</v>
      </c>
      <c r="F560" s="20" t="s">
        <v>866</v>
      </c>
      <c r="G560" s="20" t="s">
        <v>851</v>
      </c>
      <c r="H560" s="20" t="s">
        <v>718</v>
      </c>
      <c r="I560" s="21" t="s">
        <v>32</v>
      </c>
      <c r="J560" s="22" t="s">
        <v>33</v>
      </c>
      <c r="K560" s="23">
        <f>L560/1.22*1</f>
        <v>1132.7868852459017</v>
      </c>
      <c r="L560" s="26">
        <v>1382</v>
      </c>
      <c r="M560" s="25">
        <v>312.17</v>
      </c>
      <c r="N560" s="25">
        <f t="shared" si="8"/>
        <v>380.84739999999999</v>
      </c>
    </row>
    <row r="561" spans="2:14" ht="43.5" customHeight="1" x14ac:dyDescent="0.35">
      <c r="B561" s="20" t="s">
        <v>25</v>
      </c>
      <c r="C561" s="20" t="s">
        <v>833</v>
      </c>
      <c r="D561" s="20" t="s">
        <v>861</v>
      </c>
      <c r="E561" s="20" t="s">
        <v>867</v>
      </c>
      <c r="F561" s="20" t="s">
        <v>868</v>
      </c>
      <c r="G561" s="20" t="s">
        <v>837</v>
      </c>
      <c r="H561" s="20" t="s">
        <v>718</v>
      </c>
      <c r="I561" s="21" t="s">
        <v>32</v>
      </c>
      <c r="J561" s="22" t="s">
        <v>33</v>
      </c>
      <c r="K561" s="23">
        <f>L561/1.22*1</f>
        <v>1644.2622950819673</v>
      </c>
      <c r="L561" s="26">
        <v>2006</v>
      </c>
      <c r="M561" s="25">
        <v>259.70999999999998</v>
      </c>
      <c r="N561" s="25">
        <f t="shared" si="8"/>
        <v>316.84619999999995</v>
      </c>
    </row>
    <row r="562" spans="2:14" ht="43.5" customHeight="1" x14ac:dyDescent="0.35">
      <c r="B562" s="20" t="s">
        <v>25</v>
      </c>
      <c r="C562" s="20" t="s">
        <v>833</v>
      </c>
      <c r="D562" s="20" t="s">
        <v>861</v>
      </c>
      <c r="E562" s="20" t="s">
        <v>869</v>
      </c>
      <c r="F562" s="20" t="s">
        <v>870</v>
      </c>
      <c r="G562" s="20" t="s">
        <v>837</v>
      </c>
      <c r="H562" s="20" t="s">
        <v>718</v>
      </c>
      <c r="I562" s="21" t="s">
        <v>32</v>
      </c>
      <c r="J562" s="22" t="s">
        <v>33</v>
      </c>
      <c r="K562" s="23">
        <f>L562/1.22*1</f>
        <v>1476.2295081967213</v>
      </c>
      <c r="L562" s="26">
        <v>1801</v>
      </c>
      <c r="M562" s="25">
        <v>488.4</v>
      </c>
      <c r="N562" s="25">
        <f t="shared" si="8"/>
        <v>595.84799999999996</v>
      </c>
    </row>
    <row r="563" spans="2:14" ht="43.5" customHeight="1" x14ac:dyDescent="0.35">
      <c r="B563" s="20" t="s">
        <v>25</v>
      </c>
      <c r="C563" s="20" t="s">
        <v>871</v>
      </c>
      <c r="D563" s="20" t="s">
        <v>872</v>
      </c>
      <c r="E563" s="20" t="s">
        <v>873</v>
      </c>
      <c r="F563" s="20" t="s">
        <v>874</v>
      </c>
      <c r="G563" s="20" t="s">
        <v>875</v>
      </c>
      <c r="H563" s="20" t="s">
        <v>718</v>
      </c>
      <c r="I563" s="21" t="s">
        <v>32</v>
      </c>
      <c r="J563" s="22" t="s">
        <v>33</v>
      </c>
      <c r="K563" s="23">
        <f>L563/1.22*1</f>
        <v>401.63934426229508</v>
      </c>
      <c r="L563" s="26">
        <v>490</v>
      </c>
      <c r="M563" s="25">
        <v>144.94999999999999</v>
      </c>
      <c r="N563" s="25">
        <f t="shared" si="8"/>
        <v>176.83899999999997</v>
      </c>
    </row>
    <row r="564" spans="2:14" ht="43.5" customHeight="1" x14ac:dyDescent="0.35">
      <c r="B564" s="20" t="s">
        <v>25</v>
      </c>
      <c r="C564" s="20" t="s">
        <v>871</v>
      </c>
      <c r="D564" s="20" t="s">
        <v>876</v>
      </c>
      <c r="E564" s="20" t="s">
        <v>877</v>
      </c>
      <c r="F564" s="20" t="s">
        <v>874</v>
      </c>
      <c r="G564" s="20" t="s">
        <v>875</v>
      </c>
      <c r="H564" s="20" t="s">
        <v>718</v>
      </c>
      <c r="I564" s="21" t="s">
        <v>32</v>
      </c>
      <c r="J564" s="22" t="s">
        <v>33</v>
      </c>
      <c r="K564" s="23">
        <f>L564/1.22*1</f>
        <v>297.5409836065574</v>
      </c>
      <c r="L564" s="26">
        <v>363</v>
      </c>
      <c r="M564" s="25">
        <v>185.12</v>
      </c>
      <c r="N564" s="25">
        <f t="shared" si="8"/>
        <v>225.84639999999999</v>
      </c>
    </row>
    <row r="565" spans="2:14" ht="43.5" customHeight="1" x14ac:dyDescent="0.35">
      <c r="B565" s="20" t="s">
        <v>25</v>
      </c>
      <c r="C565" s="20" t="s">
        <v>871</v>
      </c>
      <c r="D565" s="20" t="s">
        <v>878</v>
      </c>
      <c r="E565" s="20" t="s">
        <v>879</v>
      </c>
      <c r="F565" s="20" t="s">
        <v>874</v>
      </c>
      <c r="G565" s="20" t="s">
        <v>880</v>
      </c>
      <c r="H565" s="20" t="s">
        <v>718</v>
      </c>
      <c r="I565" s="21" t="s">
        <v>32</v>
      </c>
      <c r="J565" s="22" t="s">
        <v>33</v>
      </c>
      <c r="K565" s="23">
        <f>L565/1.22*1</f>
        <v>500.81967213114757</v>
      </c>
      <c r="L565" s="26">
        <v>611</v>
      </c>
      <c r="M565" s="25">
        <v>1029.3800000000001</v>
      </c>
      <c r="N565" s="25">
        <f t="shared" si="8"/>
        <v>1255.8436000000002</v>
      </c>
    </row>
    <row r="566" spans="2:14" ht="43.5" customHeight="1" x14ac:dyDescent="0.35">
      <c r="B566" s="20" t="s">
        <v>25</v>
      </c>
      <c r="C566" s="20" t="s">
        <v>871</v>
      </c>
      <c r="D566" s="20" t="s">
        <v>881</v>
      </c>
      <c r="E566" s="20" t="s">
        <v>882</v>
      </c>
      <c r="F566" s="20" t="s">
        <v>874</v>
      </c>
      <c r="G566" s="20" t="s">
        <v>883</v>
      </c>
      <c r="H566" s="20" t="s">
        <v>718</v>
      </c>
      <c r="I566" s="21" t="s">
        <v>32</v>
      </c>
      <c r="J566" s="22" t="s">
        <v>33</v>
      </c>
      <c r="K566" s="23">
        <f>L566/1.22*1</f>
        <v>395.90163934426232</v>
      </c>
      <c r="L566" s="26">
        <v>483</v>
      </c>
      <c r="M566" s="25">
        <v>997.41</v>
      </c>
      <c r="N566" s="25">
        <f t="shared" si="8"/>
        <v>1216.8401999999999</v>
      </c>
    </row>
    <row r="567" spans="2:14" ht="43.5" customHeight="1" x14ac:dyDescent="0.35">
      <c r="B567" s="20" t="s">
        <v>25</v>
      </c>
      <c r="C567" s="20" t="s">
        <v>871</v>
      </c>
      <c r="D567" s="20" t="s">
        <v>884</v>
      </c>
      <c r="E567" s="20" t="s">
        <v>885</v>
      </c>
      <c r="F567" s="20" t="s">
        <v>874</v>
      </c>
      <c r="G567" s="20" t="s">
        <v>886</v>
      </c>
      <c r="H567" s="20" t="s">
        <v>718</v>
      </c>
      <c r="I567" s="21" t="s">
        <v>32</v>
      </c>
      <c r="J567" s="22" t="s">
        <v>33</v>
      </c>
      <c r="K567" s="23">
        <f>L567/1.22*1</f>
        <v>347.5409836065574</v>
      </c>
      <c r="L567" s="26">
        <v>424</v>
      </c>
      <c r="M567" s="25">
        <v>900.69</v>
      </c>
      <c r="N567" s="25">
        <f t="shared" si="8"/>
        <v>1098.8418000000001</v>
      </c>
    </row>
    <row r="568" spans="2:14" ht="43.5" customHeight="1" x14ac:dyDescent="0.35">
      <c r="B568" s="20" t="s">
        <v>25</v>
      </c>
      <c r="C568" s="20" t="s">
        <v>871</v>
      </c>
      <c r="D568" s="20" t="s">
        <v>884</v>
      </c>
      <c r="E568" s="20" t="s">
        <v>885</v>
      </c>
      <c r="F568" s="20" t="s">
        <v>874</v>
      </c>
      <c r="G568" s="20" t="s">
        <v>886</v>
      </c>
      <c r="H568" s="20" t="s">
        <v>718</v>
      </c>
      <c r="I568" s="21" t="s">
        <v>32</v>
      </c>
      <c r="J568" s="22" t="s">
        <v>33</v>
      </c>
      <c r="K568" s="23">
        <f>L568/1.22*1</f>
        <v>314.75409836065575</v>
      </c>
      <c r="L568" s="26">
        <v>384</v>
      </c>
      <c r="M568" s="25">
        <v>663.81</v>
      </c>
      <c r="N568" s="25">
        <f t="shared" si="8"/>
        <v>809.84819999999991</v>
      </c>
    </row>
    <row r="569" spans="2:14" ht="43.5" customHeight="1" x14ac:dyDescent="0.35">
      <c r="B569" s="20" t="s">
        <v>25</v>
      </c>
      <c r="C569" s="20" t="s">
        <v>871</v>
      </c>
      <c r="D569" s="20" t="s">
        <v>887</v>
      </c>
      <c r="E569" s="20" t="s">
        <v>888</v>
      </c>
      <c r="F569" s="20" t="s">
        <v>874</v>
      </c>
      <c r="G569" s="20" t="s">
        <v>880</v>
      </c>
      <c r="H569" s="20" t="s">
        <v>718</v>
      </c>
      <c r="I569" s="21" t="s">
        <v>32</v>
      </c>
      <c r="J569" s="22" t="s">
        <v>33</v>
      </c>
      <c r="K569" s="23">
        <f>L569/1.22*1</f>
        <v>342.62295081967216</v>
      </c>
      <c r="L569" s="26">
        <v>418</v>
      </c>
      <c r="M569" s="25">
        <v>517.91</v>
      </c>
      <c r="N569" s="25">
        <f t="shared" si="8"/>
        <v>631.85019999999997</v>
      </c>
    </row>
    <row r="570" spans="2:14" ht="43.5" customHeight="1" x14ac:dyDescent="0.35">
      <c r="B570" s="20" t="s">
        <v>25</v>
      </c>
      <c r="C570" s="20" t="s">
        <v>871</v>
      </c>
      <c r="D570" s="20" t="s">
        <v>887</v>
      </c>
      <c r="E570" s="20" t="s">
        <v>888</v>
      </c>
      <c r="F570" s="20" t="s">
        <v>874</v>
      </c>
      <c r="G570" s="20" t="s">
        <v>880</v>
      </c>
      <c r="H570" s="20" t="s">
        <v>718</v>
      </c>
      <c r="I570" s="21" t="s">
        <v>32</v>
      </c>
      <c r="J570" s="22" t="s">
        <v>33</v>
      </c>
      <c r="K570" s="23">
        <f>L570/1.22*1</f>
        <v>390.1639344262295</v>
      </c>
      <c r="L570" s="26">
        <v>476</v>
      </c>
      <c r="M570" s="25">
        <v>1314.63</v>
      </c>
      <c r="N570" s="25">
        <f t="shared" si="8"/>
        <v>1603.8486</v>
      </c>
    </row>
    <row r="571" spans="2:14" ht="43.5" customHeight="1" x14ac:dyDescent="0.35">
      <c r="B571" s="20" t="s">
        <v>25</v>
      </c>
      <c r="C571" s="20" t="s">
        <v>871</v>
      </c>
      <c r="D571" s="20" t="s">
        <v>887</v>
      </c>
      <c r="E571" s="20" t="s">
        <v>888</v>
      </c>
      <c r="F571" s="20" t="s">
        <v>874</v>
      </c>
      <c r="G571" s="20" t="s">
        <v>880</v>
      </c>
      <c r="H571" s="20" t="s">
        <v>718</v>
      </c>
      <c r="I571" s="21" t="s">
        <v>32</v>
      </c>
      <c r="J571" s="22" t="s">
        <v>33</v>
      </c>
      <c r="K571" s="23">
        <f>L571/1.22*1</f>
        <v>416.39344262295083</v>
      </c>
      <c r="L571" s="26">
        <v>508</v>
      </c>
      <c r="M571" s="25">
        <v>523.64</v>
      </c>
      <c r="N571" s="25">
        <f t="shared" si="8"/>
        <v>638.84079999999994</v>
      </c>
    </row>
    <row r="572" spans="2:14" ht="43.5" customHeight="1" x14ac:dyDescent="0.35">
      <c r="B572" s="20" t="s">
        <v>25</v>
      </c>
      <c r="C572" s="20" t="s">
        <v>871</v>
      </c>
      <c r="D572" s="20" t="s">
        <v>889</v>
      </c>
      <c r="E572" s="20" t="s">
        <v>890</v>
      </c>
      <c r="F572" s="20" t="s">
        <v>874</v>
      </c>
      <c r="G572" s="20" t="s">
        <v>886</v>
      </c>
      <c r="H572" s="20" t="s">
        <v>718</v>
      </c>
      <c r="I572" s="21" t="s">
        <v>32</v>
      </c>
      <c r="J572" s="22" t="s">
        <v>33</v>
      </c>
      <c r="K572" s="23">
        <f>L572/1.22*1</f>
        <v>275.40983606557376</v>
      </c>
      <c r="L572" s="26">
        <v>336</v>
      </c>
      <c r="M572" s="25">
        <v>344.13</v>
      </c>
      <c r="N572" s="25">
        <f t="shared" si="8"/>
        <v>419.83859999999999</v>
      </c>
    </row>
    <row r="573" spans="2:14" ht="43.5" customHeight="1" x14ac:dyDescent="0.35">
      <c r="B573" s="20" t="s">
        <v>25</v>
      </c>
      <c r="C573" s="20" t="s">
        <v>871</v>
      </c>
      <c r="D573" s="20" t="s">
        <v>891</v>
      </c>
      <c r="E573" s="20" t="s">
        <v>892</v>
      </c>
      <c r="F573" s="20" t="s">
        <v>874</v>
      </c>
      <c r="G573" s="20" t="s">
        <v>893</v>
      </c>
      <c r="H573" s="20" t="s">
        <v>718</v>
      </c>
      <c r="I573" s="21" t="s">
        <v>32</v>
      </c>
      <c r="J573" s="22" t="s">
        <v>33</v>
      </c>
      <c r="K573" s="23">
        <f>L573/1.22*1</f>
        <v>480.32786885245901</v>
      </c>
      <c r="L573" s="26">
        <v>586</v>
      </c>
      <c r="M573" s="25">
        <v>277.74</v>
      </c>
      <c r="N573" s="25">
        <f t="shared" si="8"/>
        <v>338.84280000000001</v>
      </c>
    </row>
    <row r="574" spans="2:14" ht="43.5" customHeight="1" x14ac:dyDescent="0.35">
      <c r="B574" s="20" t="s">
        <v>25</v>
      </c>
      <c r="C574" s="20" t="s">
        <v>871</v>
      </c>
      <c r="D574" s="20" t="s">
        <v>894</v>
      </c>
      <c r="E574" s="20" t="s">
        <v>895</v>
      </c>
      <c r="F574" s="20" t="s">
        <v>874</v>
      </c>
      <c r="G574" s="20" t="s">
        <v>886</v>
      </c>
      <c r="H574" s="20" t="s">
        <v>718</v>
      </c>
      <c r="I574" s="21" t="s">
        <v>32</v>
      </c>
      <c r="J574" s="22" t="s">
        <v>33</v>
      </c>
      <c r="K574" s="23">
        <f>L574/1.22*1</f>
        <v>301.63934426229508</v>
      </c>
      <c r="L574" s="26">
        <v>368</v>
      </c>
      <c r="M574" s="25">
        <v>193.32</v>
      </c>
      <c r="N574" s="25">
        <f t="shared" si="8"/>
        <v>235.85039999999998</v>
      </c>
    </row>
    <row r="575" spans="2:14" ht="43.5" customHeight="1" x14ac:dyDescent="0.35">
      <c r="B575" s="20" t="s">
        <v>25</v>
      </c>
      <c r="C575" s="20" t="s">
        <v>871</v>
      </c>
      <c r="D575" s="20" t="s">
        <v>896</v>
      </c>
      <c r="E575" s="20" t="s">
        <v>897</v>
      </c>
      <c r="F575" s="20" t="s">
        <v>874</v>
      </c>
      <c r="G575" s="20" t="s">
        <v>880</v>
      </c>
      <c r="H575" s="20" t="s">
        <v>718</v>
      </c>
      <c r="I575" s="21" t="s">
        <v>32</v>
      </c>
      <c r="J575" s="22" t="s">
        <v>33</v>
      </c>
      <c r="K575" s="23">
        <f>L575/1.22*1</f>
        <v>437.70491803278691</v>
      </c>
      <c r="L575" s="26">
        <v>534</v>
      </c>
      <c r="M575" s="25">
        <v>277.74</v>
      </c>
      <c r="N575" s="25">
        <f t="shared" si="8"/>
        <v>338.84280000000001</v>
      </c>
    </row>
    <row r="576" spans="2:14" ht="43.5" customHeight="1" x14ac:dyDescent="0.35">
      <c r="B576" s="20" t="s">
        <v>25</v>
      </c>
      <c r="C576" s="20" t="s">
        <v>871</v>
      </c>
      <c r="D576" s="20" t="s">
        <v>898</v>
      </c>
      <c r="E576" s="20" t="s">
        <v>899</v>
      </c>
      <c r="F576" s="20" t="s">
        <v>874</v>
      </c>
      <c r="G576" s="20" t="s">
        <v>893</v>
      </c>
      <c r="H576" s="20" t="s">
        <v>718</v>
      </c>
      <c r="I576" s="21" t="s">
        <v>32</v>
      </c>
      <c r="J576" s="22" t="s">
        <v>33</v>
      </c>
      <c r="K576" s="23">
        <f>L576/1.22*1</f>
        <v>309.8360655737705</v>
      </c>
      <c r="L576" s="26">
        <v>378</v>
      </c>
      <c r="M576" s="25">
        <v>283.48</v>
      </c>
      <c r="N576" s="25">
        <f t="shared" si="8"/>
        <v>345.84559999999999</v>
      </c>
    </row>
    <row r="577" spans="2:14" ht="43.5" customHeight="1" x14ac:dyDescent="0.35">
      <c r="B577" s="20" t="s">
        <v>25</v>
      </c>
      <c r="C577" s="20" t="s">
        <v>871</v>
      </c>
      <c r="D577" s="20" t="s">
        <v>900</v>
      </c>
      <c r="E577" s="20" t="s">
        <v>901</v>
      </c>
      <c r="F577" s="20" t="s">
        <v>874</v>
      </c>
      <c r="G577" s="20" t="s">
        <v>902</v>
      </c>
      <c r="H577" s="20" t="s">
        <v>718</v>
      </c>
      <c r="I577" s="21" t="s">
        <v>32</v>
      </c>
      <c r="J577" s="22" t="s">
        <v>33</v>
      </c>
      <c r="K577" s="23">
        <f>L577/1.22*1</f>
        <v>339.34426229508199</v>
      </c>
      <c r="L577" s="26">
        <v>414</v>
      </c>
      <c r="M577" s="25">
        <v>190.04</v>
      </c>
      <c r="N577" s="25">
        <f t="shared" si="8"/>
        <v>231.84879999999998</v>
      </c>
    </row>
    <row r="578" spans="2:14" ht="43.5" customHeight="1" x14ac:dyDescent="0.35">
      <c r="B578" s="20" t="s">
        <v>25</v>
      </c>
      <c r="C578" s="20" t="s">
        <v>871</v>
      </c>
      <c r="D578" s="20" t="s">
        <v>903</v>
      </c>
      <c r="E578" s="20" t="s">
        <v>904</v>
      </c>
      <c r="F578" s="20" t="s">
        <v>874</v>
      </c>
      <c r="G578" s="20" t="s">
        <v>886</v>
      </c>
      <c r="H578" s="20" t="s">
        <v>718</v>
      </c>
      <c r="I578" s="21" t="s">
        <v>32</v>
      </c>
      <c r="J578" s="22" t="s">
        <v>33</v>
      </c>
      <c r="K578" s="23">
        <f>L578/1.22*1</f>
        <v>292.62295081967216</v>
      </c>
      <c r="L578" s="26">
        <v>357</v>
      </c>
      <c r="M578" s="25">
        <v>185.12</v>
      </c>
      <c r="N578" s="25">
        <f t="shared" si="8"/>
        <v>225.84639999999999</v>
      </c>
    </row>
    <row r="579" spans="2:14" ht="43.5" customHeight="1" x14ac:dyDescent="0.35">
      <c r="B579" s="20" t="s">
        <v>25</v>
      </c>
      <c r="C579" s="20" t="s">
        <v>871</v>
      </c>
      <c r="D579" s="20" t="s">
        <v>905</v>
      </c>
      <c r="E579" s="20" t="s">
        <v>906</v>
      </c>
      <c r="F579" s="20" t="s">
        <v>874</v>
      </c>
      <c r="G579" s="20" t="s">
        <v>886</v>
      </c>
      <c r="H579" s="20" t="s">
        <v>718</v>
      </c>
      <c r="I579" s="21" t="s">
        <v>32</v>
      </c>
      <c r="J579" s="22" t="s">
        <v>33</v>
      </c>
      <c r="K579" s="23">
        <f>L579/1.22*1</f>
        <v>292.62295081967216</v>
      </c>
      <c r="L579" s="26">
        <v>357</v>
      </c>
      <c r="M579" s="25">
        <v>177.74</v>
      </c>
      <c r="N579" s="25">
        <f t="shared" si="8"/>
        <v>216.84280000000001</v>
      </c>
    </row>
    <row r="580" spans="2:14" ht="43.5" customHeight="1" x14ac:dyDescent="0.35">
      <c r="B580" s="20" t="s">
        <v>25</v>
      </c>
      <c r="C580" s="20" t="s">
        <v>871</v>
      </c>
      <c r="D580" s="20" t="s">
        <v>907</v>
      </c>
      <c r="E580" s="20" t="s">
        <v>908</v>
      </c>
      <c r="F580" s="20" t="s">
        <v>874</v>
      </c>
      <c r="G580" s="20" t="s">
        <v>909</v>
      </c>
      <c r="H580" s="20" t="s">
        <v>718</v>
      </c>
      <c r="I580" s="21" t="s">
        <v>32</v>
      </c>
      <c r="J580" s="22" t="s">
        <v>33</v>
      </c>
      <c r="K580" s="23">
        <f>L580/1.22*1</f>
        <v>290.98360655737707</v>
      </c>
      <c r="L580" s="26">
        <v>355</v>
      </c>
      <c r="M580" s="25">
        <v>272</v>
      </c>
      <c r="N580" s="25">
        <f t="shared" si="8"/>
        <v>331.84</v>
      </c>
    </row>
    <row r="581" spans="2:14" ht="43.5" customHeight="1" x14ac:dyDescent="0.35">
      <c r="B581" s="20" t="s">
        <v>25</v>
      </c>
      <c r="C581" s="20" t="s">
        <v>871</v>
      </c>
      <c r="D581" s="20" t="s">
        <v>910</v>
      </c>
      <c r="E581" s="20" t="s">
        <v>911</v>
      </c>
      <c r="F581" s="20" t="s">
        <v>874</v>
      </c>
      <c r="G581" s="20" t="s">
        <v>886</v>
      </c>
      <c r="H581" s="20" t="s">
        <v>718</v>
      </c>
      <c r="I581" s="21" t="s">
        <v>32</v>
      </c>
      <c r="J581" s="22" t="s">
        <v>33</v>
      </c>
      <c r="K581" s="23">
        <f>L581/1.22*1</f>
        <v>527.04918032786884</v>
      </c>
      <c r="L581" s="26">
        <v>643</v>
      </c>
      <c r="M581" s="25">
        <v>244.95</v>
      </c>
      <c r="N581" s="25">
        <f t="shared" si="8"/>
        <v>298.839</v>
      </c>
    </row>
    <row r="582" spans="2:14" ht="43.5" customHeight="1" x14ac:dyDescent="0.35">
      <c r="B582" s="20" t="s">
        <v>25</v>
      </c>
      <c r="C582" s="20" t="s">
        <v>871</v>
      </c>
      <c r="D582" s="20" t="s">
        <v>910</v>
      </c>
      <c r="E582" s="20" t="s">
        <v>911</v>
      </c>
      <c r="F582" s="20" t="s">
        <v>874</v>
      </c>
      <c r="G582" s="20" t="s">
        <v>912</v>
      </c>
      <c r="H582" s="20" t="s">
        <v>718</v>
      </c>
      <c r="I582" s="21" t="s">
        <v>32</v>
      </c>
      <c r="J582" s="22" t="s">
        <v>33</v>
      </c>
      <c r="K582" s="23">
        <f>L582/1.22*1</f>
        <v>287.70491803278691</v>
      </c>
      <c r="L582" s="26">
        <v>351</v>
      </c>
      <c r="M582" s="25">
        <v>246.59</v>
      </c>
      <c r="N582" s="25">
        <f t="shared" si="8"/>
        <v>300.83980000000003</v>
      </c>
    </row>
    <row r="583" spans="2:14" ht="43.5" customHeight="1" x14ac:dyDescent="0.35">
      <c r="B583" s="20" t="s">
        <v>25</v>
      </c>
      <c r="C583" s="20" t="s">
        <v>871</v>
      </c>
      <c r="D583" s="20" t="s">
        <v>913</v>
      </c>
      <c r="E583" s="20" t="s">
        <v>914</v>
      </c>
      <c r="F583" s="20" t="s">
        <v>874</v>
      </c>
      <c r="G583" s="20" t="s">
        <v>880</v>
      </c>
      <c r="H583" s="20" t="s">
        <v>718</v>
      </c>
      <c r="I583" s="21" t="s">
        <v>32</v>
      </c>
      <c r="J583" s="22" t="s">
        <v>33</v>
      </c>
      <c r="K583" s="23">
        <f>L583/1.22*1</f>
        <v>387.70491803278691</v>
      </c>
      <c r="L583" s="26">
        <v>473</v>
      </c>
      <c r="M583" s="25">
        <v>221.18</v>
      </c>
      <c r="N583" s="25">
        <f t="shared" si="8"/>
        <v>269.83960000000002</v>
      </c>
    </row>
    <row r="584" spans="2:14" ht="43.5" customHeight="1" x14ac:dyDescent="0.35">
      <c r="B584" s="20" t="s">
        <v>25</v>
      </c>
      <c r="C584" s="20" t="s">
        <v>871</v>
      </c>
      <c r="D584" s="20" t="s">
        <v>915</v>
      </c>
      <c r="E584" s="20" t="s">
        <v>916</v>
      </c>
      <c r="F584" s="20" t="s">
        <v>874</v>
      </c>
      <c r="G584" s="20" t="s">
        <v>893</v>
      </c>
      <c r="H584" s="20" t="s">
        <v>718</v>
      </c>
      <c r="I584" s="21" t="s">
        <v>32</v>
      </c>
      <c r="J584" s="22" t="s">
        <v>33</v>
      </c>
      <c r="K584" s="23">
        <f>L584/1.22*1</f>
        <v>313.93442622950818</v>
      </c>
      <c r="L584" s="26">
        <v>383</v>
      </c>
      <c r="M584" s="25">
        <v>340.86</v>
      </c>
      <c r="N584" s="25">
        <f t="shared" si="8"/>
        <v>415.8492</v>
      </c>
    </row>
    <row r="585" spans="2:14" ht="43.5" customHeight="1" x14ac:dyDescent="0.35">
      <c r="B585" s="20" t="s">
        <v>25</v>
      </c>
      <c r="C585" s="20" t="s">
        <v>871</v>
      </c>
      <c r="D585" s="20" t="s">
        <v>917</v>
      </c>
      <c r="E585" s="20" t="s">
        <v>918</v>
      </c>
      <c r="F585" s="20" t="s">
        <v>874</v>
      </c>
      <c r="G585" s="20" t="s">
        <v>886</v>
      </c>
      <c r="H585" s="20" t="s">
        <v>718</v>
      </c>
      <c r="I585" s="21" t="s">
        <v>32</v>
      </c>
      <c r="J585" s="22" t="s">
        <v>33</v>
      </c>
      <c r="K585" s="23">
        <f>L585/1.22*1</f>
        <v>382.78688524590166</v>
      </c>
      <c r="L585" s="26">
        <v>467</v>
      </c>
      <c r="M585" s="25">
        <v>402.33</v>
      </c>
      <c r="N585" s="25">
        <f t="shared" si="8"/>
        <v>490.84259999999995</v>
      </c>
    </row>
    <row r="586" spans="2:14" ht="43.5" customHeight="1" x14ac:dyDescent="0.35">
      <c r="B586" s="20" t="s">
        <v>25</v>
      </c>
      <c r="C586" s="20" t="s">
        <v>871</v>
      </c>
      <c r="D586" s="20" t="s">
        <v>917</v>
      </c>
      <c r="E586" s="20" t="s">
        <v>918</v>
      </c>
      <c r="F586" s="20" t="s">
        <v>874</v>
      </c>
      <c r="G586" s="20" t="s">
        <v>886</v>
      </c>
      <c r="H586" s="20" t="s">
        <v>718</v>
      </c>
      <c r="I586" s="21" t="s">
        <v>32</v>
      </c>
      <c r="J586" s="22" t="s">
        <v>33</v>
      </c>
      <c r="K586" s="23">
        <f>L586/1.22*1</f>
        <v>240.98360655737704</v>
      </c>
      <c r="L586" s="26">
        <v>294</v>
      </c>
      <c r="M586" s="25">
        <v>330.2</v>
      </c>
      <c r="N586" s="25">
        <f t="shared" ref="N586:N649" si="9">M586*1.22</f>
        <v>402.84399999999999</v>
      </c>
    </row>
    <row r="587" spans="2:14" ht="43.5" customHeight="1" x14ac:dyDescent="0.35">
      <c r="B587" s="20" t="s">
        <v>25</v>
      </c>
      <c r="C587" s="20" t="s">
        <v>871</v>
      </c>
      <c r="D587" s="20" t="s">
        <v>919</v>
      </c>
      <c r="E587" s="20" t="s">
        <v>920</v>
      </c>
      <c r="F587" s="20" t="s">
        <v>874</v>
      </c>
      <c r="G587" s="20" t="s">
        <v>909</v>
      </c>
      <c r="H587" s="20" t="s">
        <v>718</v>
      </c>
      <c r="I587" s="21" t="s">
        <v>32</v>
      </c>
      <c r="J587" s="22" t="s">
        <v>33</v>
      </c>
      <c r="K587" s="23">
        <f>L587/1.22*1</f>
        <v>327.04918032786884</v>
      </c>
      <c r="L587" s="26">
        <v>399</v>
      </c>
      <c r="M587" s="25">
        <v>293.32</v>
      </c>
      <c r="N587" s="25">
        <f t="shared" si="9"/>
        <v>357.85039999999998</v>
      </c>
    </row>
    <row r="588" spans="2:14" ht="43.5" customHeight="1" x14ac:dyDescent="0.35">
      <c r="B588" s="20" t="s">
        <v>25</v>
      </c>
      <c r="C588" s="20" t="s">
        <v>871</v>
      </c>
      <c r="D588" s="20" t="s">
        <v>921</v>
      </c>
      <c r="E588" s="20" t="s">
        <v>922</v>
      </c>
      <c r="F588" s="20" t="s">
        <v>874</v>
      </c>
      <c r="G588" s="20" t="s">
        <v>883</v>
      </c>
      <c r="H588" s="20" t="s">
        <v>718</v>
      </c>
      <c r="I588" s="21" t="s">
        <v>32</v>
      </c>
      <c r="J588" s="22" t="s">
        <v>33</v>
      </c>
      <c r="K588" s="23">
        <f>L588/1.22*1</f>
        <v>410.65573770491807</v>
      </c>
      <c r="L588" s="26">
        <v>501</v>
      </c>
      <c r="M588" s="25">
        <v>136.76</v>
      </c>
      <c r="N588" s="25">
        <f t="shared" si="9"/>
        <v>166.84719999999999</v>
      </c>
    </row>
    <row r="589" spans="2:14" ht="43.5" customHeight="1" x14ac:dyDescent="0.35">
      <c r="B589" s="20" t="s">
        <v>25</v>
      </c>
      <c r="C589" s="20" t="s">
        <v>871</v>
      </c>
      <c r="D589" s="20" t="s">
        <v>923</v>
      </c>
      <c r="E589" s="20" t="s">
        <v>924</v>
      </c>
      <c r="F589" s="20" t="s">
        <v>874</v>
      </c>
      <c r="G589" s="20" t="s">
        <v>893</v>
      </c>
      <c r="H589" s="20" t="s">
        <v>718</v>
      </c>
      <c r="I589" s="21" t="s">
        <v>32</v>
      </c>
      <c r="J589" s="22" t="s">
        <v>33</v>
      </c>
      <c r="K589" s="23">
        <f>L589/1.22*1</f>
        <v>361.47540983606558</v>
      </c>
      <c r="L589" s="26">
        <v>441</v>
      </c>
      <c r="M589" s="25">
        <v>158.07</v>
      </c>
      <c r="N589" s="25">
        <f t="shared" si="9"/>
        <v>192.84539999999998</v>
      </c>
    </row>
    <row r="590" spans="2:14" ht="43.5" customHeight="1" x14ac:dyDescent="0.35">
      <c r="B590" s="20" t="s">
        <v>25</v>
      </c>
      <c r="C590" s="20" t="s">
        <v>871</v>
      </c>
      <c r="D590" s="20" t="s">
        <v>925</v>
      </c>
      <c r="E590" s="20" t="s">
        <v>926</v>
      </c>
      <c r="F590" s="20" t="s">
        <v>874</v>
      </c>
      <c r="G590" s="20" t="s">
        <v>927</v>
      </c>
      <c r="H590" s="20" t="s">
        <v>718</v>
      </c>
      <c r="I590" s="21" t="s">
        <v>32</v>
      </c>
      <c r="J590" s="22" t="s">
        <v>33</v>
      </c>
      <c r="K590" s="23">
        <f>L590/1.22*1</f>
        <v>271.31147540983608</v>
      </c>
      <c r="L590" s="26">
        <v>331</v>
      </c>
      <c r="M590" s="25">
        <v>626.91999999999996</v>
      </c>
      <c r="N590" s="25">
        <f t="shared" si="9"/>
        <v>764.84239999999988</v>
      </c>
    </row>
    <row r="591" spans="2:14" ht="43.5" customHeight="1" x14ac:dyDescent="0.35">
      <c r="B591" s="20" t="s">
        <v>25</v>
      </c>
      <c r="C591" s="20" t="s">
        <v>871</v>
      </c>
      <c r="D591" s="20" t="s">
        <v>928</v>
      </c>
      <c r="E591" s="20" t="s">
        <v>929</v>
      </c>
      <c r="F591" s="20" t="s">
        <v>874</v>
      </c>
      <c r="G591" s="20" t="s">
        <v>927</v>
      </c>
      <c r="H591" s="20" t="s">
        <v>718</v>
      </c>
      <c r="I591" s="21" t="s">
        <v>32</v>
      </c>
      <c r="J591" s="22" t="s">
        <v>33</v>
      </c>
      <c r="K591" s="23">
        <f>L591/1.22*1</f>
        <v>227.04918032786887</v>
      </c>
      <c r="L591" s="26">
        <v>277</v>
      </c>
      <c r="M591" s="25">
        <v>577.74</v>
      </c>
      <c r="N591" s="25">
        <f t="shared" si="9"/>
        <v>704.84280000000001</v>
      </c>
    </row>
    <row r="592" spans="2:14" ht="43.5" customHeight="1" x14ac:dyDescent="0.35">
      <c r="B592" s="20" t="s">
        <v>25</v>
      </c>
      <c r="C592" s="20" t="s">
        <v>871</v>
      </c>
      <c r="D592" s="20" t="s">
        <v>930</v>
      </c>
      <c r="E592" s="20" t="s">
        <v>931</v>
      </c>
      <c r="F592" s="20" t="s">
        <v>874</v>
      </c>
      <c r="G592" s="20" t="s">
        <v>893</v>
      </c>
      <c r="H592" s="20" t="s">
        <v>718</v>
      </c>
      <c r="I592" s="21" t="s">
        <v>32</v>
      </c>
      <c r="J592" s="22" t="s">
        <v>33</v>
      </c>
      <c r="K592" s="23">
        <f>L592/1.22*1</f>
        <v>399.18032786885249</v>
      </c>
      <c r="L592" s="26">
        <v>487</v>
      </c>
      <c r="M592" s="25">
        <v>203.15</v>
      </c>
      <c r="N592" s="25">
        <f t="shared" si="9"/>
        <v>247.84299999999999</v>
      </c>
    </row>
    <row r="593" spans="2:14" ht="43.5" customHeight="1" x14ac:dyDescent="0.35">
      <c r="B593" s="20" t="s">
        <v>25</v>
      </c>
      <c r="C593" s="20" t="s">
        <v>871</v>
      </c>
      <c r="D593" s="20" t="s">
        <v>932</v>
      </c>
      <c r="E593" s="20" t="s">
        <v>933</v>
      </c>
      <c r="F593" s="20" t="s">
        <v>874</v>
      </c>
      <c r="G593" s="20" t="s">
        <v>934</v>
      </c>
      <c r="H593" s="20" t="s">
        <v>718</v>
      </c>
      <c r="I593" s="21" t="s">
        <v>32</v>
      </c>
      <c r="J593" s="22" t="s">
        <v>33</v>
      </c>
      <c r="K593" s="23">
        <f>L593/1.22*1</f>
        <v>437.70491803278691</v>
      </c>
      <c r="L593" s="26">
        <v>534</v>
      </c>
      <c r="M593" s="25">
        <v>182.66</v>
      </c>
      <c r="N593" s="25">
        <f t="shared" si="9"/>
        <v>222.84519999999998</v>
      </c>
    </row>
    <row r="594" spans="2:14" ht="43.5" customHeight="1" x14ac:dyDescent="0.35">
      <c r="B594" s="20" t="s">
        <v>25</v>
      </c>
      <c r="C594" s="20" t="s">
        <v>871</v>
      </c>
      <c r="D594" s="20" t="s">
        <v>935</v>
      </c>
      <c r="E594" s="20" t="s">
        <v>936</v>
      </c>
      <c r="F594" s="20" t="s">
        <v>874</v>
      </c>
      <c r="G594" s="20" t="s">
        <v>883</v>
      </c>
      <c r="H594" s="20" t="s">
        <v>718</v>
      </c>
      <c r="I594" s="21" t="s">
        <v>32</v>
      </c>
      <c r="J594" s="22" t="s">
        <v>33</v>
      </c>
      <c r="K594" s="23">
        <f>L594/1.22*1</f>
        <v>347.5409836065574</v>
      </c>
      <c r="L594" s="26">
        <v>424</v>
      </c>
      <c r="M594" s="25">
        <v>161.35</v>
      </c>
      <c r="N594" s="25">
        <f t="shared" si="9"/>
        <v>196.84699999999998</v>
      </c>
    </row>
    <row r="595" spans="2:14" ht="43.5" customHeight="1" x14ac:dyDescent="0.35">
      <c r="B595" s="20" t="s">
        <v>25</v>
      </c>
      <c r="C595" s="20" t="s">
        <v>871</v>
      </c>
      <c r="D595" s="20" t="s">
        <v>937</v>
      </c>
      <c r="E595" s="20" t="s">
        <v>938</v>
      </c>
      <c r="F595" s="20" t="s">
        <v>874</v>
      </c>
      <c r="G595" s="20" t="s">
        <v>939</v>
      </c>
      <c r="H595" s="20" t="s">
        <v>718</v>
      </c>
      <c r="I595" s="21" t="s">
        <v>32</v>
      </c>
      <c r="J595" s="22" t="s">
        <v>33</v>
      </c>
      <c r="K595" s="23">
        <f>L595/1.22*1</f>
        <v>553.27868852459017</v>
      </c>
      <c r="L595" s="26">
        <v>675</v>
      </c>
      <c r="M595" s="25">
        <v>140.04</v>
      </c>
      <c r="N595" s="25">
        <f t="shared" si="9"/>
        <v>170.84879999999998</v>
      </c>
    </row>
    <row r="596" spans="2:14" ht="43.5" customHeight="1" x14ac:dyDescent="0.35">
      <c r="B596" s="20" t="s">
        <v>25</v>
      </c>
      <c r="C596" s="20" t="s">
        <v>871</v>
      </c>
      <c r="D596" s="20" t="s">
        <v>940</v>
      </c>
      <c r="E596" s="20" t="s">
        <v>941</v>
      </c>
      <c r="F596" s="20" t="s">
        <v>874</v>
      </c>
      <c r="G596" s="20" t="s">
        <v>883</v>
      </c>
      <c r="H596" s="20" t="s">
        <v>718</v>
      </c>
      <c r="I596" s="21" t="s">
        <v>32</v>
      </c>
      <c r="J596" s="22" t="s">
        <v>33</v>
      </c>
      <c r="K596" s="23">
        <f>L596/1.22*1</f>
        <v>327.04918032786884</v>
      </c>
      <c r="L596" s="26">
        <v>399</v>
      </c>
      <c r="M596" s="25">
        <v>458.07</v>
      </c>
      <c r="N596" s="25">
        <f t="shared" si="9"/>
        <v>558.84539999999993</v>
      </c>
    </row>
    <row r="597" spans="2:14" ht="43.5" customHeight="1" x14ac:dyDescent="0.35">
      <c r="B597" s="20" t="s">
        <v>25</v>
      </c>
      <c r="C597" s="20" t="s">
        <v>871</v>
      </c>
      <c r="D597" s="20" t="s">
        <v>942</v>
      </c>
      <c r="E597" s="20" t="s">
        <v>943</v>
      </c>
      <c r="F597" s="20" t="s">
        <v>874</v>
      </c>
      <c r="G597" s="20" t="s">
        <v>886</v>
      </c>
      <c r="H597" s="20" t="s">
        <v>718</v>
      </c>
      <c r="I597" s="21" t="s">
        <v>32</v>
      </c>
      <c r="J597" s="22" t="s">
        <v>33</v>
      </c>
      <c r="K597" s="23">
        <f>L597/1.22*1</f>
        <v>378.68852459016392</v>
      </c>
      <c r="L597" s="26">
        <v>462</v>
      </c>
      <c r="M597" s="25">
        <v>385.12</v>
      </c>
      <c r="N597" s="25">
        <f t="shared" si="9"/>
        <v>469.84640000000002</v>
      </c>
    </row>
    <row r="598" spans="2:14" ht="43.5" customHeight="1" x14ac:dyDescent="0.35">
      <c r="B598" s="20" t="s">
        <v>25</v>
      </c>
      <c r="C598" s="20" t="s">
        <v>871</v>
      </c>
      <c r="D598" s="20" t="s">
        <v>944</v>
      </c>
      <c r="E598" s="20" t="s">
        <v>945</v>
      </c>
      <c r="F598" s="20" t="s">
        <v>874</v>
      </c>
      <c r="G598" s="20" t="s">
        <v>946</v>
      </c>
      <c r="H598" s="20" t="s">
        <v>718</v>
      </c>
      <c r="I598" s="21" t="s">
        <v>32</v>
      </c>
      <c r="J598" s="22" t="s">
        <v>33</v>
      </c>
      <c r="K598" s="23">
        <f>L598/1.22*1</f>
        <v>382.78688524590166</v>
      </c>
      <c r="L598" s="26">
        <v>467</v>
      </c>
      <c r="M598" s="25">
        <v>192.5</v>
      </c>
      <c r="N598" s="25">
        <f t="shared" si="9"/>
        <v>234.85</v>
      </c>
    </row>
    <row r="599" spans="2:14" ht="43.5" customHeight="1" x14ac:dyDescent="0.35">
      <c r="B599" s="20" t="s">
        <v>25</v>
      </c>
      <c r="C599" s="20" t="s">
        <v>871</v>
      </c>
      <c r="D599" s="20" t="s">
        <v>947</v>
      </c>
      <c r="E599" s="20" t="s">
        <v>948</v>
      </c>
      <c r="F599" s="20" t="s">
        <v>874</v>
      </c>
      <c r="G599" s="20" t="s">
        <v>946</v>
      </c>
      <c r="H599" s="20" t="s">
        <v>718</v>
      </c>
      <c r="I599" s="21" t="s">
        <v>32</v>
      </c>
      <c r="J599" s="22" t="s">
        <v>33</v>
      </c>
      <c r="K599" s="23">
        <f>L599/1.22*1</f>
        <v>426.22950819672133</v>
      </c>
      <c r="L599" s="26">
        <v>520</v>
      </c>
      <c r="M599" s="25">
        <v>192.5</v>
      </c>
      <c r="N599" s="25">
        <f t="shared" si="9"/>
        <v>234.85</v>
      </c>
    </row>
    <row r="600" spans="2:14" ht="43.5" customHeight="1" x14ac:dyDescent="0.35">
      <c r="B600" s="20" t="s">
        <v>25</v>
      </c>
      <c r="C600" s="20" t="s">
        <v>871</v>
      </c>
      <c r="D600" s="20" t="s">
        <v>949</v>
      </c>
      <c r="E600" s="20" t="s">
        <v>950</v>
      </c>
      <c r="F600" s="20" t="s">
        <v>874</v>
      </c>
      <c r="G600" s="20" t="s">
        <v>883</v>
      </c>
      <c r="H600" s="20" t="s">
        <v>718</v>
      </c>
      <c r="I600" s="21" t="s">
        <v>32</v>
      </c>
      <c r="J600" s="22" t="s">
        <v>33</v>
      </c>
      <c r="K600" s="23">
        <f>L600/1.22*1</f>
        <v>331.14754098360658</v>
      </c>
      <c r="L600" s="26">
        <v>404</v>
      </c>
      <c r="M600" s="25">
        <v>193.32</v>
      </c>
      <c r="N600" s="25">
        <f t="shared" si="9"/>
        <v>235.85039999999998</v>
      </c>
    </row>
    <row r="601" spans="2:14" ht="43.5" customHeight="1" x14ac:dyDescent="0.35">
      <c r="B601" s="20" t="s">
        <v>25</v>
      </c>
      <c r="C601" s="20" t="s">
        <v>871</v>
      </c>
      <c r="D601" s="20" t="s">
        <v>951</v>
      </c>
      <c r="E601" s="20" t="s">
        <v>952</v>
      </c>
      <c r="F601" s="20" t="s">
        <v>874</v>
      </c>
      <c r="G601" s="20" t="s">
        <v>886</v>
      </c>
      <c r="H601" s="20" t="s">
        <v>718</v>
      </c>
      <c r="I601" s="21" t="s">
        <v>32</v>
      </c>
      <c r="J601" s="22" t="s">
        <v>33</v>
      </c>
      <c r="K601" s="23">
        <f>L601/1.22*1</f>
        <v>340.1639344262295</v>
      </c>
      <c r="L601" s="26">
        <v>415</v>
      </c>
      <c r="M601" s="25">
        <v>234.3</v>
      </c>
      <c r="N601" s="25">
        <f t="shared" si="9"/>
        <v>285.846</v>
      </c>
    </row>
    <row r="602" spans="2:14" ht="43.5" customHeight="1" x14ac:dyDescent="0.35">
      <c r="B602" s="20" t="s">
        <v>25</v>
      </c>
      <c r="C602" s="20" t="s">
        <v>871</v>
      </c>
      <c r="D602" s="20" t="s">
        <v>953</v>
      </c>
      <c r="E602" s="20" t="s">
        <v>954</v>
      </c>
      <c r="F602" s="20" t="s">
        <v>874</v>
      </c>
      <c r="G602" s="20" t="s">
        <v>886</v>
      </c>
      <c r="H602" s="20" t="s">
        <v>718</v>
      </c>
      <c r="I602" s="21" t="s">
        <v>32</v>
      </c>
      <c r="J602" s="22" t="s">
        <v>33</v>
      </c>
      <c r="K602" s="23">
        <f>L602/1.22*1</f>
        <v>279.50819672131149</v>
      </c>
      <c r="L602" s="26">
        <v>341</v>
      </c>
      <c r="M602" s="25">
        <v>203.97</v>
      </c>
      <c r="N602" s="25">
        <f t="shared" si="9"/>
        <v>248.8434</v>
      </c>
    </row>
    <row r="603" spans="2:14" ht="43.5" customHeight="1" x14ac:dyDescent="0.35">
      <c r="B603" s="20" t="s">
        <v>25</v>
      </c>
      <c r="C603" s="20" t="s">
        <v>871</v>
      </c>
      <c r="D603" s="20" t="s">
        <v>955</v>
      </c>
      <c r="E603" s="20" t="s">
        <v>956</v>
      </c>
      <c r="F603" s="20" t="s">
        <v>874</v>
      </c>
      <c r="G603" s="20" t="s">
        <v>883</v>
      </c>
      <c r="H603" s="20" t="s">
        <v>718</v>
      </c>
      <c r="I603" s="21" t="s">
        <v>32</v>
      </c>
      <c r="J603" s="22" t="s">
        <v>33</v>
      </c>
      <c r="K603" s="23">
        <f>L603/1.22*1</f>
        <v>369.67213114754099</v>
      </c>
      <c r="L603" s="26">
        <v>451</v>
      </c>
      <c r="M603" s="25">
        <v>230.2</v>
      </c>
      <c r="N603" s="25">
        <f t="shared" si="9"/>
        <v>280.84399999999999</v>
      </c>
    </row>
    <row r="604" spans="2:14" ht="43.5" customHeight="1" x14ac:dyDescent="0.35">
      <c r="B604" s="20" t="s">
        <v>25</v>
      </c>
      <c r="C604" s="20" t="s">
        <v>871</v>
      </c>
      <c r="D604" s="20" t="s">
        <v>957</v>
      </c>
      <c r="E604" s="20" t="s">
        <v>901</v>
      </c>
      <c r="F604" s="20" t="s">
        <v>874</v>
      </c>
      <c r="G604" s="20" t="s">
        <v>893</v>
      </c>
      <c r="H604" s="20" t="s">
        <v>718</v>
      </c>
      <c r="I604" s="21" t="s">
        <v>32</v>
      </c>
      <c r="J604" s="22" t="s">
        <v>33</v>
      </c>
      <c r="K604" s="23">
        <f>L604/1.22*1</f>
        <v>336.06557377049182</v>
      </c>
      <c r="L604" s="26">
        <v>410</v>
      </c>
      <c r="M604" s="25">
        <v>199.05</v>
      </c>
      <c r="N604" s="25">
        <f t="shared" si="9"/>
        <v>242.84100000000001</v>
      </c>
    </row>
    <row r="605" spans="2:14" ht="43.5" customHeight="1" x14ac:dyDescent="0.35">
      <c r="B605" s="20" t="s">
        <v>25</v>
      </c>
      <c r="C605" s="20" t="s">
        <v>871</v>
      </c>
      <c r="D605" s="20" t="s">
        <v>958</v>
      </c>
      <c r="E605" s="20" t="s">
        <v>959</v>
      </c>
      <c r="F605" s="20" t="s">
        <v>874</v>
      </c>
      <c r="G605" s="20" t="s">
        <v>893</v>
      </c>
      <c r="H605" s="20" t="s">
        <v>718</v>
      </c>
      <c r="I605" s="21" t="s">
        <v>32</v>
      </c>
      <c r="J605" s="22" t="s">
        <v>33</v>
      </c>
      <c r="K605" s="23">
        <f>L605/1.22*1</f>
        <v>320.49180327868851</v>
      </c>
      <c r="L605" s="26">
        <v>391</v>
      </c>
      <c r="M605" s="25">
        <v>1085.1199999999999</v>
      </c>
      <c r="N605" s="25">
        <f t="shared" si="9"/>
        <v>1323.8463999999999</v>
      </c>
    </row>
    <row r="606" spans="2:14" ht="43.5" customHeight="1" x14ac:dyDescent="0.35">
      <c r="B606" s="20" t="s">
        <v>25</v>
      </c>
      <c r="C606" s="20" t="s">
        <v>871</v>
      </c>
      <c r="D606" s="20" t="s">
        <v>960</v>
      </c>
      <c r="E606" s="20" t="s">
        <v>961</v>
      </c>
      <c r="F606" s="20" t="s">
        <v>874</v>
      </c>
      <c r="G606" s="20" t="s">
        <v>886</v>
      </c>
      <c r="H606" s="20" t="s">
        <v>718</v>
      </c>
      <c r="I606" s="21" t="s">
        <v>32</v>
      </c>
      <c r="J606" s="22" t="s">
        <v>33</v>
      </c>
      <c r="K606" s="23">
        <f>L606/1.22*1</f>
        <v>308.19672131147541</v>
      </c>
      <c r="L606" s="26">
        <v>376</v>
      </c>
      <c r="M606" s="25">
        <v>884.3</v>
      </c>
      <c r="N606" s="25">
        <f t="shared" si="9"/>
        <v>1078.846</v>
      </c>
    </row>
    <row r="607" spans="2:14" ht="43.5" customHeight="1" x14ac:dyDescent="0.35">
      <c r="B607" s="20" t="s">
        <v>25</v>
      </c>
      <c r="C607" s="20" t="s">
        <v>871</v>
      </c>
      <c r="D607" s="20" t="s">
        <v>960</v>
      </c>
      <c r="E607" s="20" t="s">
        <v>961</v>
      </c>
      <c r="F607" s="20" t="s">
        <v>874</v>
      </c>
      <c r="G607" s="20" t="s">
        <v>902</v>
      </c>
      <c r="H607" s="20" t="s">
        <v>718</v>
      </c>
      <c r="I607" s="21" t="s">
        <v>32</v>
      </c>
      <c r="J607" s="22" t="s">
        <v>33</v>
      </c>
      <c r="K607" s="23">
        <f>L607/1.22*1</f>
        <v>361.47540983606558</v>
      </c>
      <c r="L607" s="26">
        <v>441</v>
      </c>
      <c r="M607" s="25">
        <v>192.5</v>
      </c>
      <c r="N607" s="25">
        <f t="shared" si="9"/>
        <v>234.85</v>
      </c>
    </row>
    <row r="608" spans="2:14" ht="43.5" customHeight="1" x14ac:dyDescent="0.35">
      <c r="B608" s="20" t="s">
        <v>25</v>
      </c>
      <c r="C608" s="20" t="s">
        <v>871</v>
      </c>
      <c r="D608" s="20" t="s">
        <v>962</v>
      </c>
      <c r="E608" s="20" t="s">
        <v>963</v>
      </c>
      <c r="F608" s="20" t="s">
        <v>874</v>
      </c>
      <c r="G608" s="20" t="s">
        <v>946</v>
      </c>
      <c r="H608" s="20" t="s">
        <v>718</v>
      </c>
      <c r="I608" s="21" t="s">
        <v>32</v>
      </c>
      <c r="J608" s="22" t="s">
        <v>33</v>
      </c>
      <c r="K608" s="23">
        <f>L608/1.22*1</f>
        <v>336.06557377049182</v>
      </c>
      <c r="L608" s="26">
        <v>410</v>
      </c>
      <c r="M608" s="25">
        <v>25112.99</v>
      </c>
      <c r="N608" s="25">
        <f t="shared" si="9"/>
        <v>30637.8478</v>
      </c>
    </row>
    <row r="609" spans="2:14" ht="43.5" customHeight="1" x14ac:dyDescent="0.35">
      <c r="B609" s="20" t="s">
        <v>25</v>
      </c>
      <c r="C609" s="20" t="s">
        <v>871</v>
      </c>
      <c r="D609" s="20" t="s">
        <v>964</v>
      </c>
      <c r="E609" s="20" t="s">
        <v>965</v>
      </c>
      <c r="F609" s="20" t="s">
        <v>874</v>
      </c>
      <c r="G609" s="20" t="s">
        <v>966</v>
      </c>
      <c r="H609" s="20" t="s">
        <v>718</v>
      </c>
      <c r="I609" s="21" t="s">
        <v>32</v>
      </c>
      <c r="J609" s="22" t="s">
        <v>33</v>
      </c>
      <c r="K609" s="23">
        <f>L609/1.22*1</f>
        <v>422.13114754098359</v>
      </c>
      <c r="L609" s="26">
        <v>515</v>
      </c>
      <c r="M609" s="25">
        <v>1281.02</v>
      </c>
      <c r="N609" s="25">
        <f t="shared" si="9"/>
        <v>1562.8444</v>
      </c>
    </row>
    <row r="610" spans="2:14" ht="43.5" customHeight="1" x14ac:dyDescent="0.35">
      <c r="B610" s="20" t="s">
        <v>25</v>
      </c>
      <c r="C610" s="20" t="s">
        <v>871</v>
      </c>
      <c r="D610" s="20" t="s">
        <v>967</v>
      </c>
      <c r="E610" s="20" t="s">
        <v>968</v>
      </c>
      <c r="F610" s="20" t="s">
        <v>874</v>
      </c>
      <c r="G610" s="20" t="s">
        <v>893</v>
      </c>
      <c r="H610" s="20" t="s">
        <v>718</v>
      </c>
      <c r="I610" s="21" t="s">
        <v>32</v>
      </c>
      <c r="J610" s="22" t="s">
        <v>33</v>
      </c>
      <c r="K610" s="23">
        <f>L610/1.22*1</f>
        <v>427.86885245901641</v>
      </c>
      <c r="L610" s="26">
        <v>522</v>
      </c>
      <c r="M610" s="25">
        <v>1786.76</v>
      </c>
      <c r="N610" s="25">
        <f t="shared" si="9"/>
        <v>2179.8472000000002</v>
      </c>
    </row>
    <row r="611" spans="2:14" ht="43.5" customHeight="1" x14ac:dyDescent="0.35">
      <c r="B611" s="20" t="s">
        <v>25</v>
      </c>
      <c r="C611" s="20" t="s">
        <v>871</v>
      </c>
      <c r="D611" s="20" t="s">
        <v>969</v>
      </c>
      <c r="E611" s="20" t="s">
        <v>970</v>
      </c>
      <c r="F611" s="20" t="s">
        <v>874</v>
      </c>
      <c r="G611" s="20" t="s">
        <v>886</v>
      </c>
      <c r="H611" s="20" t="s">
        <v>718</v>
      </c>
      <c r="I611" s="21" t="s">
        <v>32</v>
      </c>
      <c r="J611" s="22" t="s">
        <v>33</v>
      </c>
      <c r="K611" s="23">
        <f>L611/1.22*1</f>
        <v>379.50819672131149</v>
      </c>
      <c r="L611" s="26">
        <v>463</v>
      </c>
      <c r="M611" s="25">
        <v>4545.7700000000004</v>
      </c>
      <c r="N611" s="25">
        <f t="shared" si="9"/>
        <v>5545.8394000000008</v>
      </c>
    </row>
    <row r="612" spans="2:14" ht="43.5" customHeight="1" x14ac:dyDescent="0.35">
      <c r="B612" s="20" t="s">
        <v>25</v>
      </c>
      <c r="C612" s="20" t="s">
        <v>871</v>
      </c>
      <c r="D612" s="20" t="s">
        <v>971</v>
      </c>
      <c r="E612" s="20" t="s">
        <v>972</v>
      </c>
      <c r="F612" s="20" t="s">
        <v>874</v>
      </c>
      <c r="G612" s="20" t="s">
        <v>946</v>
      </c>
      <c r="H612" s="20" t="s">
        <v>718</v>
      </c>
      <c r="I612" s="21" t="s">
        <v>32</v>
      </c>
      <c r="J612" s="22" t="s">
        <v>33</v>
      </c>
      <c r="K612" s="23">
        <f>L612/1.22*1</f>
        <v>361.47540983606558</v>
      </c>
      <c r="L612" s="26">
        <v>441</v>
      </c>
      <c r="M612" s="25">
        <v>117.09</v>
      </c>
      <c r="N612" s="25">
        <f t="shared" si="9"/>
        <v>142.84979999999999</v>
      </c>
    </row>
    <row r="613" spans="2:14" ht="43.5" customHeight="1" x14ac:dyDescent="0.35">
      <c r="B613" s="20" t="s">
        <v>25</v>
      </c>
      <c r="C613" s="20" t="s">
        <v>871</v>
      </c>
      <c r="D613" s="20" t="s">
        <v>973</v>
      </c>
      <c r="E613" s="20" t="s">
        <v>974</v>
      </c>
      <c r="F613" s="20" t="s">
        <v>975</v>
      </c>
      <c r="G613" s="20" t="s">
        <v>976</v>
      </c>
      <c r="H613" s="20" t="s">
        <v>977</v>
      </c>
      <c r="I613" s="21" t="s">
        <v>32</v>
      </c>
      <c r="J613" s="22" t="s">
        <v>33</v>
      </c>
      <c r="K613" s="23">
        <f>L613/1.22*1</f>
        <v>336.06557377049182</v>
      </c>
      <c r="L613" s="26">
        <v>410</v>
      </c>
      <c r="M613" s="25">
        <v>88.4</v>
      </c>
      <c r="N613" s="25">
        <f t="shared" si="9"/>
        <v>107.848</v>
      </c>
    </row>
    <row r="614" spans="2:14" ht="43.5" customHeight="1" x14ac:dyDescent="0.35">
      <c r="B614" s="20" t="s">
        <v>25</v>
      </c>
      <c r="C614" s="20" t="s">
        <v>871</v>
      </c>
      <c r="D614" s="20" t="s">
        <v>978</v>
      </c>
      <c r="E614" s="20" t="s">
        <v>979</v>
      </c>
      <c r="F614" s="20" t="s">
        <v>980</v>
      </c>
      <c r="G614" s="20" t="s">
        <v>976</v>
      </c>
      <c r="H614" s="20" t="s">
        <v>977</v>
      </c>
      <c r="I614" s="21" t="s">
        <v>32</v>
      </c>
      <c r="J614" s="22" t="s">
        <v>33</v>
      </c>
      <c r="K614" s="23">
        <f>L614/1.22*1</f>
        <v>426.22950819672133</v>
      </c>
      <c r="L614" s="26">
        <v>520</v>
      </c>
      <c r="M614" s="25">
        <v>192.5</v>
      </c>
      <c r="N614" s="25">
        <f t="shared" si="9"/>
        <v>234.85</v>
      </c>
    </row>
    <row r="615" spans="2:14" ht="43.5" customHeight="1" x14ac:dyDescent="0.35">
      <c r="B615" s="20" t="s">
        <v>25</v>
      </c>
      <c r="C615" s="20" t="s">
        <v>871</v>
      </c>
      <c r="D615" s="20" t="s">
        <v>981</v>
      </c>
      <c r="E615" s="20" t="s">
        <v>982</v>
      </c>
      <c r="F615" s="20" t="s">
        <v>983</v>
      </c>
      <c r="G615" s="20" t="s">
        <v>976</v>
      </c>
      <c r="H615" s="20" t="s">
        <v>977</v>
      </c>
      <c r="I615" s="21" t="s">
        <v>32</v>
      </c>
      <c r="J615" s="22" t="s">
        <v>33</v>
      </c>
      <c r="K615" s="23">
        <f>L615/1.22*1</f>
        <v>304.91803278688525</v>
      </c>
      <c r="L615" s="26">
        <v>372</v>
      </c>
      <c r="M615" s="25">
        <v>373.64</v>
      </c>
      <c r="N615" s="25">
        <f t="shared" si="9"/>
        <v>455.8408</v>
      </c>
    </row>
    <row r="616" spans="2:14" ht="43.5" customHeight="1" x14ac:dyDescent="0.35">
      <c r="B616" s="20" t="s">
        <v>25</v>
      </c>
      <c r="C616" s="20" t="s">
        <v>871</v>
      </c>
      <c r="D616" s="20" t="s">
        <v>984</v>
      </c>
      <c r="E616" s="20" t="s">
        <v>985</v>
      </c>
      <c r="F616" s="20" t="s">
        <v>986</v>
      </c>
      <c r="G616" s="20" t="s">
        <v>976</v>
      </c>
      <c r="H616" s="20" t="s">
        <v>977</v>
      </c>
      <c r="I616" s="21" t="s">
        <v>32</v>
      </c>
      <c r="J616" s="22" t="s">
        <v>33</v>
      </c>
      <c r="K616" s="23">
        <f>L616/1.22*1</f>
        <v>309.8360655737705</v>
      </c>
      <c r="L616" s="26">
        <v>378</v>
      </c>
      <c r="M616" s="25">
        <v>808.07</v>
      </c>
      <c r="N616" s="25">
        <f t="shared" si="9"/>
        <v>985.84540000000004</v>
      </c>
    </row>
    <row r="617" spans="2:14" ht="43.5" customHeight="1" x14ac:dyDescent="0.35">
      <c r="B617" s="20" t="s">
        <v>25</v>
      </c>
      <c r="C617" s="20" t="s">
        <v>871</v>
      </c>
      <c r="D617" s="20" t="s">
        <v>987</v>
      </c>
      <c r="E617" s="20" t="s">
        <v>988</v>
      </c>
      <c r="F617" s="20" t="s">
        <v>989</v>
      </c>
      <c r="G617" s="20" t="s">
        <v>976</v>
      </c>
      <c r="H617" s="20" t="s">
        <v>977</v>
      </c>
      <c r="I617" s="21" t="s">
        <v>32</v>
      </c>
      <c r="J617" s="22" t="s">
        <v>33</v>
      </c>
      <c r="K617" s="23">
        <f>L617/1.22*1</f>
        <v>314.75409836065575</v>
      </c>
      <c r="L617" s="26">
        <v>384</v>
      </c>
      <c r="M617" s="25">
        <v>312.17</v>
      </c>
      <c r="N617" s="25">
        <f t="shared" si="9"/>
        <v>380.84739999999999</v>
      </c>
    </row>
    <row r="618" spans="2:14" ht="43.5" customHeight="1" x14ac:dyDescent="0.35">
      <c r="B618" s="20" t="s">
        <v>25</v>
      </c>
      <c r="C618" s="20" t="s">
        <v>871</v>
      </c>
      <c r="D618" s="20" t="s">
        <v>990</v>
      </c>
      <c r="E618" s="20" t="s">
        <v>991</v>
      </c>
      <c r="F618" s="20" t="s">
        <v>989</v>
      </c>
      <c r="G618" s="20" t="s">
        <v>992</v>
      </c>
      <c r="H618" s="20" t="s">
        <v>977</v>
      </c>
      <c r="I618" s="21" t="s">
        <v>32</v>
      </c>
      <c r="J618" s="22" t="s">
        <v>33</v>
      </c>
      <c r="K618" s="23">
        <f>L618/1.22*1</f>
        <v>355.73770491803282</v>
      </c>
      <c r="L618" s="26">
        <v>434</v>
      </c>
      <c r="M618" s="25">
        <v>202.33</v>
      </c>
      <c r="N618" s="25">
        <f t="shared" si="9"/>
        <v>246.8426</v>
      </c>
    </row>
    <row r="619" spans="2:14" ht="43.5" customHeight="1" x14ac:dyDescent="0.35">
      <c r="B619" s="20" t="s">
        <v>25</v>
      </c>
      <c r="C619" s="20" t="s">
        <v>993</v>
      </c>
      <c r="D619" s="20" t="s">
        <v>994</v>
      </c>
      <c r="E619" s="20" t="s">
        <v>995</v>
      </c>
      <c r="F619" s="20" t="s">
        <v>996</v>
      </c>
      <c r="G619" s="20" t="s">
        <v>997</v>
      </c>
      <c r="H619" s="20" t="s">
        <v>718</v>
      </c>
      <c r="I619" s="21" t="s">
        <v>32</v>
      </c>
      <c r="J619" s="22" t="s">
        <v>33</v>
      </c>
      <c r="K619" s="23">
        <f>L619/1.22*1</f>
        <v>119.67213114754098</v>
      </c>
      <c r="L619" s="26">
        <v>146</v>
      </c>
      <c r="M619" s="25">
        <v>1786.76</v>
      </c>
      <c r="N619" s="25">
        <f t="shared" si="9"/>
        <v>2179.8472000000002</v>
      </c>
    </row>
    <row r="620" spans="2:14" ht="43.5" customHeight="1" x14ac:dyDescent="0.35">
      <c r="B620" s="20" t="s">
        <v>25</v>
      </c>
      <c r="C620" s="20" t="s">
        <v>993</v>
      </c>
      <c r="D620" s="20" t="s">
        <v>998</v>
      </c>
      <c r="E620" s="20" t="s">
        <v>995</v>
      </c>
      <c r="F620" s="20" t="s">
        <v>996</v>
      </c>
      <c r="G620" s="20" t="s">
        <v>997</v>
      </c>
      <c r="H620" s="20" t="s">
        <v>718</v>
      </c>
      <c r="I620" s="21" t="s">
        <v>32</v>
      </c>
      <c r="J620" s="22" t="s">
        <v>33</v>
      </c>
      <c r="K620" s="23">
        <f>L620/1.22*1</f>
        <v>119.67213114754098</v>
      </c>
      <c r="L620" s="26">
        <v>146</v>
      </c>
      <c r="M620" s="25">
        <v>512.99</v>
      </c>
      <c r="N620" s="25">
        <f t="shared" si="9"/>
        <v>625.84780000000001</v>
      </c>
    </row>
    <row r="621" spans="2:14" ht="43.5" customHeight="1" x14ac:dyDescent="0.35">
      <c r="B621" s="20" t="s">
        <v>25</v>
      </c>
      <c r="C621" s="20" t="s">
        <v>993</v>
      </c>
      <c r="D621" s="20" t="s">
        <v>998</v>
      </c>
      <c r="E621" s="20" t="s">
        <v>999</v>
      </c>
      <c r="F621" s="20" t="s">
        <v>1000</v>
      </c>
      <c r="G621" s="20" t="s">
        <v>997</v>
      </c>
      <c r="H621" s="20" t="s">
        <v>718</v>
      </c>
      <c r="I621" s="21" t="s">
        <v>32</v>
      </c>
      <c r="J621" s="22" t="s">
        <v>33</v>
      </c>
      <c r="K621" s="23">
        <f>L621/1.22*1</f>
        <v>227.04918032786887</v>
      </c>
      <c r="L621" s="26">
        <v>277</v>
      </c>
      <c r="M621" s="25">
        <v>553.97</v>
      </c>
      <c r="N621" s="25">
        <f t="shared" si="9"/>
        <v>675.84339999999997</v>
      </c>
    </row>
    <row r="622" spans="2:14" ht="43.5" customHeight="1" x14ac:dyDescent="0.35">
      <c r="B622" s="20" t="s">
        <v>25</v>
      </c>
      <c r="C622" s="20" t="s">
        <v>993</v>
      </c>
      <c r="D622" s="20" t="s">
        <v>994</v>
      </c>
      <c r="E622" s="20" t="s">
        <v>1001</v>
      </c>
      <c r="F622" s="20" t="s">
        <v>1002</v>
      </c>
      <c r="G622" s="20" t="s">
        <v>997</v>
      </c>
      <c r="H622" s="20" t="s">
        <v>718</v>
      </c>
      <c r="I622" s="21" t="s">
        <v>32</v>
      </c>
      <c r="J622" s="22" t="s">
        <v>33</v>
      </c>
      <c r="K622" s="23">
        <f>L622/1.22*1</f>
        <v>223.7704918032787</v>
      </c>
      <c r="L622" s="26">
        <v>273</v>
      </c>
      <c r="M622" s="25">
        <v>113.81</v>
      </c>
      <c r="N622" s="25">
        <f t="shared" si="9"/>
        <v>138.84819999999999</v>
      </c>
    </row>
    <row r="623" spans="2:14" ht="43.5" customHeight="1" x14ac:dyDescent="0.35">
      <c r="B623" s="20" t="s">
        <v>25</v>
      </c>
      <c r="C623" s="20" t="s">
        <v>993</v>
      </c>
      <c r="D623" s="20" t="s">
        <v>1003</v>
      </c>
      <c r="E623" s="20" t="s">
        <v>1004</v>
      </c>
      <c r="F623" s="20" t="s">
        <v>1005</v>
      </c>
      <c r="G623" s="20" t="s">
        <v>997</v>
      </c>
      <c r="H623" s="20" t="s">
        <v>718</v>
      </c>
      <c r="I623" s="21" t="s">
        <v>32</v>
      </c>
      <c r="J623" s="22" t="s">
        <v>33</v>
      </c>
      <c r="K623" s="23">
        <f>L623/1.22*1</f>
        <v>119.67213114754098</v>
      </c>
      <c r="L623" s="26">
        <v>146</v>
      </c>
      <c r="M623" s="25">
        <v>1135.1199999999999</v>
      </c>
      <c r="N623" s="25">
        <f t="shared" si="9"/>
        <v>1384.8463999999999</v>
      </c>
    </row>
    <row r="624" spans="2:14" ht="43.5" customHeight="1" x14ac:dyDescent="0.35">
      <c r="B624" s="20" t="s">
        <v>25</v>
      </c>
      <c r="C624" s="20" t="s">
        <v>993</v>
      </c>
      <c r="D624" s="20" t="s">
        <v>1006</v>
      </c>
      <c r="E624" s="20" t="s">
        <v>1007</v>
      </c>
      <c r="F624" s="20" t="s">
        <v>1008</v>
      </c>
      <c r="G624" s="20" t="s">
        <v>997</v>
      </c>
      <c r="H624" s="20" t="s">
        <v>718</v>
      </c>
      <c r="I624" s="21" t="s">
        <v>32</v>
      </c>
      <c r="J624" s="22" t="s">
        <v>33</v>
      </c>
      <c r="K624" s="23">
        <f>L624/1.22*1</f>
        <v>119.67213114754098</v>
      </c>
      <c r="L624" s="26">
        <v>146</v>
      </c>
      <c r="M624" s="25">
        <v>317.91000000000003</v>
      </c>
      <c r="N624" s="25">
        <f t="shared" si="9"/>
        <v>387.85020000000003</v>
      </c>
    </row>
    <row r="625" spans="2:14" ht="43.5" customHeight="1" x14ac:dyDescent="0.35">
      <c r="B625" s="20" t="s">
        <v>25</v>
      </c>
      <c r="C625" s="20" t="s">
        <v>993</v>
      </c>
      <c r="D625" s="20" t="s">
        <v>1006</v>
      </c>
      <c r="E625" s="20" t="s">
        <v>1009</v>
      </c>
      <c r="F625" s="20" t="s">
        <v>1010</v>
      </c>
      <c r="G625" s="20" t="s">
        <v>997</v>
      </c>
      <c r="H625" s="20" t="s">
        <v>718</v>
      </c>
      <c r="I625" s="21" t="s">
        <v>32</v>
      </c>
      <c r="J625" s="22" t="s">
        <v>33</v>
      </c>
      <c r="K625" s="23">
        <f>L625/1.22*1</f>
        <v>114.75409836065575</v>
      </c>
      <c r="L625" s="26">
        <v>140</v>
      </c>
      <c r="M625" s="25">
        <v>262.17</v>
      </c>
      <c r="N625" s="25">
        <f t="shared" si="9"/>
        <v>319.84739999999999</v>
      </c>
    </row>
    <row r="626" spans="2:14" ht="43.5" customHeight="1" x14ac:dyDescent="0.35">
      <c r="B626" s="20" t="s">
        <v>25</v>
      </c>
      <c r="C626" s="20" t="s">
        <v>993</v>
      </c>
      <c r="D626" s="20" t="s">
        <v>1006</v>
      </c>
      <c r="E626" s="20" t="s">
        <v>1011</v>
      </c>
      <c r="F626" s="20" t="s">
        <v>1012</v>
      </c>
      <c r="G626" s="20" t="s">
        <v>997</v>
      </c>
      <c r="H626" s="20" t="s">
        <v>718</v>
      </c>
      <c r="I626" s="21" t="s">
        <v>32</v>
      </c>
      <c r="J626" s="22" t="s">
        <v>33</v>
      </c>
      <c r="K626" s="23">
        <f>L626/1.22*1</f>
        <v>296.72131147540983</v>
      </c>
      <c r="L626" s="26">
        <v>362</v>
      </c>
      <c r="M626" s="25">
        <v>403.15</v>
      </c>
      <c r="N626" s="25">
        <f t="shared" si="9"/>
        <v>491.84299999999996</v>
      </c>
    </row>
    <row r="627" spans="2:14" ht="43.5" customHeight="1" x14ac:dyDescent="0.35">
      <c r="B627" s="20" t="s">
        <v>25</v>
      </c>
      <c r="C627" s="20" t="s">
        <v>993</v>
      </c>
      <c r="D627" s="20" t="s">
        <v>1006</v>
      </c>
      <c r="E627" s="20" t="s">
        <v>1013</v>
      </c>
      <c r="F627" s="20" t="s">
        <v>1010</v>
      </c>
      <c r="G627" s="20" t="s">
        <v>997</v>
      </c>
      <c r="H627" s="20" t="s">
        <v>718</v>
      </c>
      <c r="I627" s="21" t="s">
        <v>32</v>
      </c>
      <c r="J627" s="22" t="s">
        <v>33</v>
      </c>
      <c r="K627" s="23">
        <f>L627/1.22*1</f>
        <v>114.75409836065575</v>
      </c>
      <c r="L627" s="26">
        <v>140</v>
      </c>
      <c r="M627" s="25">
        <v>281.83999999999997</v>
      </c>
      <c r="N627" s="25">
        <f t="shared" si="9"/>
        <v>343.84479999999996</v>
      </c>
    </row>
    <row r="628" spans="2:14" ht="43.5" customHeight="1" x14ac:dyDescent="0.35">
      <c r="B628" s="20" t="s">
        <v>25</v>
      </c>
      <c r="C628" s="20" t="s">
        <v>993</v>
      </c>
      <c r="D628" s="20" t="s">
        <v>1014</v>
      </c>
      <c r="E628" s="20" t="s">
        <v>1015</v>
      </c>
      <c r="F628" s="20" t="s">
        <v>1016</v>
      </c>
      <c r="G628" s="20" t="s">
        <v>997</v>
      </c>
      <c r="H628" s="20" t="s">
        <v>718</v>
      </c>
      <c r="I628" s="21" t="s">
        <v>32</v>
      </c>
      <c r="J628" s="22" t="s">
        <v>33</v>
      </c>
      <c r="K628" s="23">
        <f>L628/1.22*1</f>
        <v>114.75409836065575</v>
      </c>
      <c r="L628" s="26">
        <v>140</v>
      </c>
      <c r="M628" s="25">
        <v>303.14999999999998</v>
      </c>
      <c r="N628" s="25">
        <f t="shared" si="9"/>
        <v>369.84299999999996</v>
      </c>
    </row>
    <row r="629" spans="2:14" ht="43.5" customHeight="1" x14ac:dyDescent="0.35">
      <c r="B629" s="20" t="s">
        <v>25</v>
      </c>
      <c r="C629" s="20" t="s">
        <v>993</v>
      </c>
      <c r="D629" s="20" t="s">
        <v>1017</v>
      </c>
      <c r="E629" s="20" t="s">
        <v>1018</v>
      </c>
      <c r="F629" s="20" t="s">
        <v>1019</v>
      </c>
      <c r="G629" s="20" t="s">
        <v>997</v>
      </c>
      <c r="H629" s="20" t="s">
        <v>718</v>
      </c>
      <c r="I629" s="21" t="s">
        <v>32</v>
      </c>
      <c r="J629" s="22" t="s">
        <v>33</v>
      </c>
      <c r="K629" s="23">
        <f>L629/1.22*1</f>
        <v>114.75409836065575</v>
      </c>
      <c r="L629" s="26">
        <v>140</v>
      </c>
      <c r="M629" s="25">
        <v>390.04</v>
      </c>
      <c r="N629" s="25">
        <f t="shared" si="9"/>
        <v>475.84880000000004</v>
      </c>
    </row>
    <row r="630" spans="2:14" ht="43.5" customHeight="1" x14ac:dyDescent="0.35">
      <c r="B630" s="20" t="s">
        <v>25</v>
      </c>
      <c r="C630" s="20" t="s">
        <v>993</v>
      </c>
      <c r="D630" s="20" t="s">
        <v>1020</v>
      </c>
      <c r="E630" s="20" t="s">
        <v>1021</v>
      </c>
      <c r="F630" s="20" t="s">
        <v>1022</v>
      </c>
      <c r="G630" s="20" t="s">
        <v>997</v>
      </c>
      <c r="H630" s="20" t="s">
        <v>718</v>
      </c>
      <c r="I630" s="21" t="s">
        <v>32</v>
      </c>
      <c r="J630" s="22" t="s">
        <v>33</v>
      </c>
      <c r="K630" s="23">
        <f>L630/1.22*1</f>
        <v>227.86885245901641</v>
      </c>
      <c r="L630" s="26">
        <v>278</v>
      </c>
      <c r="M630" s="25">
        <v>252.33</v>
      </c>
      <c r="N630" s="25">
        <f t="shared" si="9"/>
        <v>307.8426</v>
      </c>
    </row>
    <row r="631" spans="2:14" ht="43.5" customHeight="1" x14ac:dyDescent="0.35">
      <c r="B631" s="20" t="s">
        <v>25</v>
      </c>
      <c r="C631" s="20" t="s">
        <v>993</v>
      </c>
      <c r="D631" s="20" t="s">
        <v>1017</v>
      </c>
      <c r="E631" s="20" t="s">
        <v>1023</v>
      </c>
      <c r="F631" s="20" t="s">
        <v>1024</v>
      </c>
      <c r="G631" s="20" t="s">
        <v>997</v>
      </c>
      <c r="H631" s="20" t="s">
        <v>718</v>
      </c>
      <c r="I631" s="21" t="s">
        <v>32</v>
      </c>
      <c r="J631" s="22" t="s">
        <v>33</v>
      </c>
      <c r="K631" s="23">
        <f>L631/1.22*1</f>
        <v>232.78688524590166</v>
      </c>
      <c r="L631" s="26">
        <v>284</v>
      </c>
      <c r="M631" s="25">
        <v>1376.1</v>
      </c>
      <c r="N631" s="25">
        <f t="shared" si="9"/>
        <v>1678.8419999999999</v>
      </c>
    </row>
    <row r="632" spans="2:14" ht="43.5" customHeight="1" x14ac:dyDescent="0.35">
      <c r="B632" s="20" t="s">
        <v>25</v>
      </c>
      <c r="C632" s="20" t="s">
        <v>993</v>
      </c>
      <c r="D632" s="20" t="s">
        <v>1020</v>
      </c>
      <c r="E632" s="20" t="s">
        <v>1025</v>
      </c>
      <c r="F632" s="20" t="s">
        <v>1019</v>
      </c>
      <c r="G632" s="20" t="s">
        <v>997</v>
      </c>
      <c r="H632" s="20" t="s">
        <v>718</v>
      </c>
      <c r="I632" s="21" t="s">
        <v>32</v>
      </c>
      <c r="J632" s="22" t="s">
        <v>33</v>
      </c>
      <c r="K632" s="23">
        <f>L632/1.22*1</f>
        <v>114.75409836065575</v>
      </c>
      <c r="L632" s="26">
        <v>140</v>
      </c>
      <c r="M632" s="25">
        <v>281.83999999999997</v>
      </c>
      <c r="N632" s="25">
        <f t="shared" si="9"/>
        <v>343.84479999999996</v>
      </c>
    </row>
    <row r="633" spans="2:14" ht="43.5" customHeight="1" x14ac:dyDescent="0.35">
      <c r="B633" s="20" t="s">
        <v>25</v>
      </c>
      <c r="C633" s="20" t="s">
        <v>993</v>
      </c>
      <c r="D633" s="20" t="s">
        <v>1026</v>
      </c>
      <c r="E633" s="20" t="s">
        <v>1027</v>
      </c>
      <c r="F633" s="20" t="s">
        <v>1028</v>
      </c>
      <c r="G633" s="20" t="s">
        <v>997</v>
      </c>
      <c r="H633" s="20" t="s">
        <v>718</v>
      </c>
      <c r="I633" s="21" t="s">
        <v>32</v>
      </c>
      <c r="J633" s="22" t="s">
        <v>33</v>
      </c>
      <c r="K633" s="23">
        <f>L633/1.22*1</f>
        <v>187.70491803278688</v>
      </c>
      <c r="L633" s="26">
        <v>229</v>
      </c>
      <c r="M633" s="25">
        <v>262.17</v>
      </c>
      <c r="N633" s="25">
        <f t="shared" si="9"/>
        <v>319.84739999999999</v>
      </c>
    </row>
    <row r="634" spans="2:14" ht="43.5" customHeight="1" x14ac:dyDescent="0.35">
      <c r="B634" s="20" t="s">
        <v>25</v>
      </c>
      <c r="C634" s="20" t="s">
        <v>993</v>
      </c>
      <c r="D634" s="20" t="s">
        <v>1029</v>
      </c>
      <c r="E634" s="20" t="s">
        <v>1030</v>
      </c>
      <c r="F634" s="20" t="s">
        <v>1031</v>
      </c>
      <c r="G634" s="20" t="s">
        <v>997</v>
      </c>
      <c r="H634" s="20" t="s">
        <v>718</v>
      </c>
      <c r="I634" s="21" t="s">
        <v>32</v>
      </c>
      <c r="J634" s="22" t="s">
        <v>33</v>
      </c>
      <c r="K634" s="23">
        <f>L634/1.22*1</f>
        <v>258.19672131147541</v>
      </c>
      <c r="L634" s="26">
        <v>315</v>
      </c>
      <c r="M634" s="25">
        <v>558.07000000000005</v>
      </c>
      <c r="N634" s="25">
        <f t="shared" si="9"/>
        <v>680.84540000000004</v>
      </c>
    </row>
    <row r="635" spans="2:14" ht="43.5" customHeight="1" x14ac:dyDescent="0.35">
      <c r="B635" s="20" t="s">
        <v>25</v>
      </c>
      <c r="C635" s="20" t="s">
        <v>993</v>
      </c>
      <c r="D635" s="20" t="s">
        <v>1032</v>
      </c>
      <c r="E635" s="20" t="s">
        <v>1033</v>
      </c>
      <c r="F635" s="20" t="s">
        <v>1034</v>
      </c>
      <c r="G635" s="20" t="s">
        <v>997</v>
      </c>
      <c r="H635" s="20" t="s">
        <v>718</v>
      </c>
      <c r="I635" s="21" t="s">
        <v>32</v>
      </c>
      <c r="J635" s="22" t="s">
        <v>33</v>
      </c>
      <c r="K635" s="23">
        <f>L635/1.22*1</f>
        <v>258.19672131147541</v>
      </c>
      <c r="L635" s="26">
        <v>315</v>
      </c>
      <c r="M635" s="25">
        <v>237.58</v>
      </c>
      <c r="N635" s="25">
        <f t="shared" si="9"/>
        <v>289.8476</v>
      </c>
    </row>
    <row r="636" spans="2:14" ht="43.5" customHeight="1" x14ac:dyDescent="0.35">
      <c r="B636" s="20" t="s">
        <v>25</v>
      </c>
      <c r="C636" s="20" t="s">
        <v>993</v>
      </c>
      <c r="D636" s="20" t="s">
        <v>1035</v>
      </c>
      <c r="E636" s="20" t="s">
        <v>1036</v>
      </c>
      <c r="F636" s="20" t="s">
        <v>1037</v>
      </c>
      <c r="G636" s="20" t="s">
        <v>997</v>
      </c>
      <c r="H636" s="20" t="s">
        <v>718</v>
      </c>
      <c r="I636" s="21" t="s">
        <v>32</v>
      </c>
      <c r="J636" s="22" t="s">
        <v>33</v>
      </c>
      <c r="K636" s="23">
        <f>L636/1.22*1</f>
        <v>219.67213114754099</v>
      </c>
      <c r="L636" s="26">
        <v>268</v>
      </c>
      <c r="M636" s="25">
        <v>262.17</v>
      </c>
      <c r="N636" s="25">
        <f t="shared" si="9"/>
        <v>319.84739999999999</v>
      </c>
    </row>
    <row r="637" spans="2:14" ht="43.5" customHeight="1" x14ac:dyDescent="0.35">
      <c r="B637" s="20" t="s">
        <v>25</v>
      </c>
      <c r="C637" s="20" t="s">
        <v>993</v>
      </c>
      <c r="D637" s="20" t="s">
        <v>1038</v>
      </c>
      <c r="E637" s="20" t="s">
        <v>1039</v>
      </c>
      <c r="F637" s="20" t="s">
        <v>1040</v>
      </c>
      <c r="G637" s="20" t="s">
        <v>997</v>
      </c>
      <c r="H637" s="20" t="s">
        <v>718</v>
      </c>
      <c r="I637" s="21" t="s">
        <v>32</v>
      </c>
      <c r="J637" s="22" t="s">
        <v>33</v>
      </c>
      <c r="K637" s="23">
        <f>L637/1.22*1</f>
        <v>106.55737704918033</v>
      </c>
      <c r="L637" s="26">
        <v>130</v>
      </c>
      <c r="M637" s="25">
        <v>1034.3</v>
      </c>
      <c r="N637" s="25">
        <f t="shared" si="9"/>
        <v>1261.846</v>
      </c>
    </row>
    <row r="638" spans="2:14" ht="43.5" customHeight="1" x14ac:dyDescent="0.35">
      <c r="B638" s="20" t="s">
        <v>25</v>
      </c>
      <c r="C638" s="20" t="s">
        <v>993</v>
      </c>
      <c r="D638" s="20" t="s">
        <v>1041</v>
      </c>
      <c r="E638" s="20" t="s">
        <v>1042</v>
      </c>
      <c r="F638" s="20" t="s">
        <v>1043</v>
      </c>
      <c r="G638" s="20" t="s">
        <v>997</v>
      </c>
      <c r="H638" s="20" t="s">
        <v>718</v>
      </c>
      <c r="I638" s="21" t="s">
        <v>32</v>
      </c>
      <c r="J638" s="22" t="s">
        <v>33</v>
      </c>
      <c r="K638" s="23">
        <f>L638/1.22*1</f>
        <v>116.39344262295083</v>
      </c>
      <c r="L638" s="26">
        <v>142</v>
      </c>
      <c r="M638" s="25">
        <v>377.74</v>
      </c>
      <c r="N638" s="25">
        <f t="shared" si="9"/>
        <v>460.84280000000001</v>
      </c>
    </row>
    <row r="639" spans="2:14" ht="43.5" customHeight="1" x14ac:dyDescent="0.35">
      <c r="B639" s="20" t="s">
        <v>25</v>
      </c>
      <c r="C639" s="20" t="s">
        <v>993</v>
      </c>
      <c r="D639" s="20" t="s">
        <v>1044</v>
      </c>
      <c r="E639" s="20" t="s">
        <v>1045</v>
      </c>
      <c r="F639" s="20" t="s">
        <v>1046</v>
      </c>
      <c r="G639" s="20" t="s">
        <v>997</v>
      </c>
      <c r="H639" s="20" t="s">
        <v>718</v>
      </c>
      <c r="I639" s="21" t="s">
        <v>32</v>
      </c>
      <c r="J639" s="22" t="s">
        <v>33</v>
      </c>
      <c r="K639" s="23">
        <f>L639/1.22*1</f>
        <v>105.73770491803279</v>
      </c>
      <c r="L639" s="26">
        <v>129</v>
      </c>
      <c r="M639" s="25">
        <v>192.5</v>
      </c>
      <c r="N639" s="25">
        <f t="shared" si="9"/>
        <v>234.85</v>
      </c>
    </row>
    <row r="640" spans="2:14" ht="43.5" customHeight="1" x14ac:dyDescent="0.35">
      <c r="B640" s="20" t="s">
        <v>25</v>
      </c>
      <c r="C640" s="20" t="s">
        <v>993</v>
      </c>
      <c r="D640" s="20" t="s">
        <v>1047</v>
      </c>
      <c r="E640" s="20" t="s">
        <v>1048</v>
      </c>
      <c r="F640" s="20" t="s">
        <v>1049</v>
      </c>
      <c r="G640" s="20" t="s">
        <v>997</v>
      </c>
      <c r="H640" s="20" t="s">
        <v>718</v>
      </c>
      <c r="I640" s="21" t="s">
        <v>32</v>
      </c>
      <c r="J640" s="22" t="s">
        <v>33</v>
      </c>
      <c r="K640" s="23">
        <f>L640/1.22*1</f>
        <v>105.73770491803279</v>
      </c>
      <c r="L640" s="26">
        <v>129</v>
      </c>
      <c r="M640" s="25">
        <v>237.58</v>
      </c>
      <c r="N640" s="25">
        <f t="shared" si="9"/>
        <v>289.8476</v>
      </c>
    </row>
    <row r="641" spans="2:14" ht="43.5" customHeight="1" x14ac:dyDescent="0.35">
      <c r="B641" s="20" t="s">
        <v>25</v>
      </c>
      <c r="C641" s="20" t="s">
        <v>993</v>
      </c>
      <c r="D641" s="20" t="s">
        <v>1050</v>
      </c>
      <c r="E641" s="20" t="s">
        <v>1051</v>
      </c>
      <c r="F641" s="20" t="s">
        <v>1052</v>
      </c>
      <c r="G641" s="20" t="s">
        <v>997</v>
      </c>
      <c r="H641" s="20" t="s">
        <v>718</v>
      </c>
      <c r="I641" s="21" t="s">
        <v>32</v>
      </c>
      <c r="J641" s="22" t="s">
        <v>33</v>
      </c>
      <c r="K641" s="23">
        <f>L641/1.22*1</f>
        <v>105.73770491803279</v>
      </c>
      <c r="L641" s="26">
        <v>129</v>
      </c>
      <c r="M641" s="25">
        <v>573.64</v>
      </c>
      <c r="N641" s="25">
        <f t="shared" si="9"/>
        <v>699.84079999999994</v>
      </c>
    </row>
    <row r="642" spans="2:14" ht="43.5" customHeight="1" x14ac:dyDescent="0.35">
      <c r="B642" s="20" t="s">
        <v>25</v>
      </c>
      <c r="C642" s="20" t="s">
        <v>993</v>
      </c>
      <c r="D642" s="20" t="s">
        <v>1053</v>
      </c>
      <c r="E642" s="20" t="s">
        <v>1054</v>
      </c>
      <c r="F642" s="20" t="s">
        <v>1055</v>
      </c>
      <c r="G642" s="20" t="s">
        <v>997</v>
      </c>
      <c r="H642" s="20" t="s">
        <v>718</v>
      </c>
      <c r="I642" s="21" t="s">
        <v>32</v>
      </c>
      <c r="J642" s="22" t="s">
        <v>33</v>
      </c>
      <c r="K642" s="23">
        <f>L642/1.22*1</f>
        <v>324.59016393442624</v>
      </c>
      <c r="L642" s="26">
        <v>396</v>
      </c>
      <c r="M642" s="25">
        <v>573.64</v>
      </c>
      <c r="N642" s="25">
        <f t="shared" si="9"/>
        <v>699.84079999999994</v>
      </c>
    </row>
    <row r="643" spans="2:14" ht="43.5" customHeight="1" x14ac:dyDescent="0.35">
      <c r="B643" s="20" t="s">
        <v>25</v>
      </c>
      <c r="C643" s="20" t="s">
        <v>993</v>
      </c>
      <c r="D643" s="20" t="s">
        <v>1056</v>
      </c>
      <c r="E643" s="20" t="s">
        <v>1057</v>
      </c>
      <c r="F643" s="20" t="s">
        <v>1058</v>
      </c>
      <c r="G643" s="20" t="s">
        <v>997</v>
      </c>
      <c r="H643" s="20" t="s">
        <v>718</v>
      </c>
      <c r="I643" s="21" t="s">
        <v>32</v>
      </c>
      <c r="J643" s="22" t="s">
        <v>33</v>
      </c>
      <c r="K643" s="23">
        <f>L643/1.22*1</f>
        <v>104.09836065573771</v>
      </c>
      <c r="L643" s="26">
        <v>127</v>
      </c>
      <c r="M643" s="25">
        <v>713.81</v>
      </c>
      <c r="N643" s="25">
        <f t="shared" si="9"/>
        <v>870.84819999999991</v>
      </c>
    </row>
    <row r="644" spans="2:14" ht="43.5" customHeight="1" x14ac:dyDescent="0.35">
      <c r="B644" s="20" t="s">
        <v>25</v>
      </c>
      <c r="C644" s="20" t="s">
        <v>993</v>
      </c>
      <c r="D644" s="20" t="s">
        <v>1059</v>
      </c>
      <c r="E644" s="20" t="s">
        <v>1060</v>
      </c>
      <c r="F644" s="20" t="s">
        <v>1061</v>
      </c>
      <c r="G644" s="20" t="s">
        <v>997</v>
      </c>
      <c r="H644" s="20" t="s">
        <v>718</v>
      </c>
      <c r="I644" s="21" t="s">
        <v>32</v>
      </c>
      <c r="J644" s="22" t="s">
        <v>33</v>
      </c>
      <c r="K644" s="23">
        <f>L644/1.22*1</f>
        <v>114.75409836065575</v>
      </c>
      <c r="L644" s="26">
        <v>140</v>
      </c>
      <c r="M644" s="25">
        <v>813.81</v>
      </c>
      <c r="N644" s="25">
        <f t="shared" si="9"/>
        <v>992.84819999999991</v>
      </c>
    </row>
    <row r="645" spans="2:14" ht="43.5" customHeight="1" x14ac:dyDescent="0.35">
      <c r="B645" s="20" t="s">
        <v>25</v>
      </c>
      <c r="C645" s="20" t="s">
        <v>993</v>
      </c>
      <c r="D645" s="20" t="s">
        <v>1062</v>
      </c>
      <c r="E645" s="20" t="s">
        <v>1063</v>
      </c>
      <c r="F645" s="20" t="s">
        <v>1061</v>
      </c>
      <c r="G645" s="20" t="s">
        <v>997</v>
      </c>
      <c r="H645" s="20" t="s">
        <v>718</v>
      </c>
      <c r="I645" s="21" t="s">
        <v>32</v>
      </c>
      <c r="J645" s="22" t="s">
        <v>33</v>
      </c>
      <c r="K645" s="23">
        <f>L645/1.22*1</f>
        <v>114.75409836065575</v>
      </c>
      <c r="L645" s="26">
        <v>140</v>
      </c>
      <c r="M645" s="25">
        <v>854.79</v>
      </c>
      <c r="N645" s="25">
        <f t="shared" si="9"/>
        <v>1042.8437999999999</v>
      </c>
    </row>
    <row r="646" spans="2:14" ht="43.5" customHeight="1" x14ac:dyDescent="0.35">
      <c r="B646" s="20" t="s">
        <v>25</v>
      </c>
      <c r="C646" s="20" t="s">
        <v>993</v>
      </c>
      <c r="D646" s="20" t="s">
        <v>1064</v>
      </c>
      <c r="E646" s="20" t="s">
        <v>1065</v>
      </c>
      <c r="F646" s="20" t="s">
        <v>1061</v>
      </c>
      <c r="G646" s="20" t="s">
        <v>997</v>
      </c>
      <c r="H646" s="20" t="s">
        <v>718</v>
      </c>
      <c r="I646" s="21" t="s">
        <v>32</v>
      </c>
      <c r="J646" s="22" t="s">
        <v>33</v>
      </c>
      <c r="K646" s="23">
        <f>L646/1.22*1</f>
        <v>114.75409836065575</v>
      </c>
      <c r="L646" s="26">
        <v>140</v>
      </c>
      <c r="M646" s="25">
        <v>213.81</v>
      </c>
      <c r="N646" s="25">
        <f t="shared" si="9"/>
        <v>260.84820000000002</v>
      </c>
    </row>
    <row r="647" spans="2:14" ht="43.5" customHeight="1" x14ac:dyDescent="0.35">
      <c r="B647" s="20" t="s">
        <v>25</v>
      </c>
      <c r="C647" s="20" t="s">
        <v>993</v>
      </c>
      <c r="D647" s="20" t="s">
        <v>1066</v>
      </c>
      <c r="E647" s="20" t="s">
        <v>1067</v>
      </c>
      <c r="F647" s="20" t="s">
        <v>1068</v>
      </c>
      <c r="G647" s="20" t="s">
        <v>997</v>
      </c>
      <c r="H647" s="20" t="s">
        <v>718</v>
      </c>
      <c r="I647" s="21" t="s">
        <v>32</v>
      </c>
      <c r="J647" s="22" t="s">
        <v>33</v>
      </c>
      <c r="K647" s="23">
        <f>L647/1.22*1</f>
        <v>114.75409836065575</v>
      </c>
      <c r="L647" s="26">
        <v>140</v>
      </c>
      <c r="M647" s="25">
        <v>264.63</v>
      </c>
      <c r="N647" s="25">
        <f t="shared" si="9"/>
        <v>322.84859999999998</v>
      </c>
    </row>
    <row r="648" spans="2:14" ht="43.5" customHeight="1" x14ac:dyDescent="0.35">
      <c r="B648" s="20" t="s">
        <v>25</v>
      </c>
      <c r="C648" s="20" t="s">
        <v>993</v>
      </c>
      <c r="D648" s="20" t="s">
        <v>1069</v>
      </c>
      <c r="E648" s="20" t="s">
        <v>1070</v>
      </c>
      <c r="F648" s="20" t="s">
        <v>1071</v>
      </c>
      <c r="G648" s="20" t="s">
        <v>997</v>
      </c>
      <c r="H648" s="20" t="s">
        <v>718</v>
      </c>
      <c r="I648" s="21" t="s">
        <v>32</v>
      </c>
      <c r="J648" s="22" t="s">
        <v>33</v>
      </c>
      <c r="K648" s="23">
        <f>L648/1.22*1</f>
        <v>410.65573770491807</v>
      </c>
      <c r="L648" s="26">
        <v>501</v>
      </c>
      <c r="M648" s="25">
        <v>412.99</v>
      </c>
      <c r="N648" s="25">
        <f t="shared" si="9"/>
        <v>503.84780000000001</v>
      </c>
    </row>
    <row r="649" spans="2:14" ht="43.5" customHeight="1" x14ac:dyDescent="0.35">
      <c r="B649" s="20" t="s">
        <v>25</v>
      </c>
      <c r="C649" s="20" t="s">
        <v>993</v>
      </c>
      <c r="D649" s="20" t="s">
        <v>1072</v>
      </c>
      <c r="E649" s="20" t="s">
        <v>1073</v>
      </c>
      <c r="F649" s="20" t="s">
        <v>1074</v>
      </c>
      <c r="G649" s="20" t="s">
        <v>997</v>
      </c>
      <c r="H649" s="20" t="s">
        <v>718</v>
      </c>
      <c r="I649" s="21" t="s">
        <v>32</v>
      </c>
      <c r="J649" s="22" t="s">
        <v>33</v>
      </c>
      <c r="K649" s="23">
        <f>L649/1.22*1</f>
        <v>125.40983606557377</v>
      </c>
      <c r="L649" s="26">
        <v>153</v>
      </c>
      <c r="M649" s="25">
        <v>277.74</v>
      </c>
      <c r="N649" s="25">
        <f t="shared" si="9"/>
        <v>338.84280000000001</v>
      </c>
    </row>
    <row r="650" spans="2:14" ht="43.5" customHeight="1" x14ac:dyDescent="0.35">
      <c r="B650" s="20" t="s">
        <v>25</v>
      </c>
      <c r="C650" s="20" t="s">
        <v>993</v>
      </c>
      <c r="D650" s="20" t="s">
        <v>1075</v>
      </c>
      <c r="E650" s="20" t="s">
        <v>1076</v>
      </c>
      <c r="F650" s="20" t="s">
        <v>1077</v>
      </c>
      <c r="G650" s="20" t="s">
        <v>997</v>
      </c>
      <c r="H650" s="20" t="s">
        <v>718</v>
      </c>
      <c r="I650" s="21" t="s">
        <v>32</v>
      </c>
      <c r="J650" s="22" t="s">
        <v>33</v>
      </c>
      <c r="K650" s="23">
        <f>L650/1.22*1</f>
        <v>219.67213114754099</v>
      </c>
      <c r="L650" s="26">
        <v>268</v>
      </c>
      <c r="M650" s="25">
        <v>562.99</v>
      </c>
      <c r="N650" s="25">
        <f t="shared" ref="N650:N658" si="10">M650*1.22</f>
        <v>686.84780000000001</v>
      </c>
    </row>
    <row r="651" spans="2:14" ht="43.5" customHeight="1" x14ac:dyDescent="0.35">
      <c r="B651" s="20" t="s">
        <v>25</v>
      </c>
      <c r="C651" s="20" t="s">
        <v>993</v>
      </c>
      <c r="D651" s="20" t="s">
        <v>1078</v>
      </c>
      <c r="E651" s="20" t="s">
        <v>1079</v>
      </c>
      <c r="F651" s="20" t="s">
        <v>1080</v>
      </c>
      <c r="G651" s="20" t="s">
        <v>997</v>
      </c>
      <c r="H651" s="20" t="s">
        <v>718</v>
      </c>
      <c r="I651" s="21" t="s">
        <v>32</v>
      </c>
      <c r="J651" s="22" t="s">
        <v>33</v>
      </c>
      <c r="K651" s="23">
        <f>L651/1.22*1</f>
        <v>225.40983606557378</v>
      </c>
      <c r="L651" s="26">
        <v>275</v>
      </c>
      <c r="M651" s="25">
        <v>197.41</v>
      </c>
      <c r="N651" s="25">
        <f t="shared" si="10"/>
        <v>240.84019999999998</v>
      </c>
    </row>
    <row r="652" spans="2:14" ht="43.5" customHeight="1" x14ac:dyDescent="0.35">
      <c r="B652" s="20" t="s">
        <v>25</v>
      </c>
      <c r="C652" s="20" t="s">
        <v>993</v>
      </c>
      <c r="D652" s="20" t="s">
        <v>1081</v>
      </c>
      <c r="E652" s="20" t="s">
        <v>1082</v>
      </c>
      <c r="F652" s="20" t="s">
        <v>1083</v>
      </c>
      <c r="G652" s="20" t="s">
        <v>997</v>
      </c>
      <c r="H652" s="20" t="s">
        <v>718</v>
      </c>
      <c r="I652" s="21" t="s">
        <v>32</v>
      </c>
      <c r="J652" s="22" t="s">
        <v>33</v>
      </c>
      <c r="K652" s="23">
        <f>L652/1.22*1</f>
        <v>287.70491803278691</v>
      </c>
      <c r="L652" s="26">
        <v>351</v>
      </c>
      <c r="M652" s="25">
        <v>197.41</v>
      </c>
      <c r="N652" s="25">
        <f t="shared" si="10"/>
        <v>240.84019999999998</v>
      </c>
    </row>
    <row r="653" spans="2:14" ht="43.5" customHeight="1" x14ac:dyDescent="0.35">
      <c r="B653" s="20" t="s">
        <v>25</v>
      </c>
      <c r="C653" s="20" t="s">
        <v>993</v>
      </c>
      <c r="D653" s="20" t="s">
        <v>1084</v>
      </c>
      <c r="E653" s="20" t="s">
        <v>1085</v>
      </c>
      <c r="F653" s="20" t="s">
        <v>1086</v>
      </c>
      <c r="G653" s="20" t="s">
        <v>997</v>
      </c>
      <c r="H653" s="20" t="s">
        <v>718</v>
      </c>
      <c r="I653" s="21" t="s">
        <v>32</v>
      </c>
      <c r="J653" s="22" t="s">
        <v>33</v>
      </c>
      <c r="K653" s="23">
        <f>L653/1.22*1</f>
        <v>162.29508196721312</v>
      </c>
      <c r="L653" s="26">
        <v>198</v>
      </c>
      <c r="M653" s="25">
        <v>387.58</v>
      </c>
      <c r="N653" s="25">
        <f t="shared" si="10"/>
        <v>472.84759999999994</v>
      </c>
    </row>
    <row r="654" spans="2:14" ht="43.5" customHeight="1" x14ac:dyDescent="0.35">
      <c r="B654" s="20" t="s">
        <v>25</v>
      </c>
      <c r="C654" s="20" t="s">
        <v>993</v>
      </c>
      <c r="D654" s="20" t="s">
        <v>1087</v>
      </c>
      <c r="E654" s="20" t="s">
        <v>1088</v>
      </c>
      <c r="F654" s="20" t="s">
        <v>1089</v>
      </c>
      <c r="G654" s="20" t="s">
        <v>997</v>
      </c>
      <c r="H654" s="20" t="s">
        <v>718</v>
      </c>
      <c r="I654" s="21" t="s">
        <v>32</v>
      </c>
      <c r="J654" s="22" t="s">
        <v>33</v>
      </c>
      <c r="K654" s="23">
        <f>L654/1.22*1</f>
        <v>208.19672131147541</v>
      </c>
      <c r="L654" s="26">
        <v>254</v>
      </c>
      <c r="M654" s="25">
        <v>508.07</v>
      </c>
      <c r="N654" s="25">
        <f t="shared" si="10"/>
        <v>619.84539999999993</v>
      </c>
    </row>
    <row r="655" spans="2:14" ht="43.5" customHeight="1" x14ac:dyDescent="0.35">
      <c r="B655" s="20" t="s">
        <v>25</v>
      </c>
      <c r="C655" s="20" t="s">
        <v>993</v>
      </c>
      <c r="D655" s="20" t="s">
        <v>1090</v>
      </c>
      <c r="E655" s="20" t="s">
        <v>1091</v>
      </c>
      <c r="F655" s="20" t="s">
        <v>1092</v>
      </c>
      <c r="G655" s="20" t="s">
        <v>997</v>
      </c>
      <c r="H655" s="20" t="s">
        <v>718</v>
      </c>
      <c r="I655" s="21" t="s">
        <v>32</v>
      </c>
      <c r="J655" s="22" t="s">
        <v>33</v>
      </c>
      <c r="K655" s="23">
        <f>L655/1.22*1</f>
        <v>301.63934426229508</v>
      </c>
      <c r="L655" s="26">
        <v>368</v>
      </c>
      <c r="M655" s="25">
        <v>267.08999999999997</v>
      </c>
      <c r="N655" s="25">
        <f t="shared" si="10"/>
        <v>325.84979999999996</v>
      </c>
    </row>
    <row r="656" spans="2:14" ht="43.5" customHeight="1" x14ac:dyDescent="0.35">
      <c r="B656" s="20" t="s">
        <v>25</v>
      </c>
      <c r="C656" s="20" t="s">
        <v>993</v>
      </c>
      <c r="D656" s="20" t="s">
        <v>1093</v>
      </c>
      <c r="E656" s="20" t="s">
        <v>1094</v>
      </c>
      <c r="F656" s="20" t="s">
        <v>1095</v>
      </c>
      <c r="G656" s="20" t="s">
        <v>997</v>
      </c>
      <c r="H656" s="20" t="s">
        <v>718</v>
      </c>
      <c r="I656" s="21" t="s">
        <v>32</v>
      </c>
      <c r="J656" s="22" t="s">
        <v>33</v>
      </c>
      <c r="K656" s="23">
        <f>L656/1.22*1</f>
        <v>309.8360655737705</v>
      </c>
      <c r="L656" s="26">
        <v>378</v>
      </c>
      <c r="M656" s="25">
        <v>443.32</v>
      </c>
      <c r="N656" s="25">
        <f t="shared" si="10"/>
        <v>540.85040000000004</v>
      </c>
    </row>
    <row r="657" spans="2:14" ht="43.5" customHeight="1" x14ac:dyDescent="0.35">
      <c r="B657" s="20" t="s">
        <v>25</v>
      </c>
      <c r="C657" s="20" t="s">
        <v>993</v>
      </c>
      <c r="D657" s="20" t="s">
        <v>1096</v>
      </c>
      <c r="E657" s="20" t="s">
        <v>1097</v>
      </c>
      <c r="F657" s="20" t="s">
        <v>1098</v>
      </c>
      <c r="G657" s="20" t="s">
        <v>997</v>
      </c>
      <c r="H657" s="20" t="s">
        <v>718</v>
      </c>
      <c r="I657" s="21" t="s">
        <v>32</v>
      </c>
      <c r="J657" s="22" t="s">
        <v>33</v>
      </c>
      <c r="K657" s="23">
        <f>L657/1.22*1</f>
        <v>215.57377049180329</v>
      </c>
      <c r="L657" s="26">
        <v>263</v>
      </c>
      <c r="M657" s="25">
        <v>272.82</v>
      </c>
      <c r="N657" s="25">
        <f t="shared" si="10"/>
        <v>332.84039999999999</v>
      </c>
    </row>
    <row r="658" spans="2:14" ht="43.5" customHeight="1" x14ac:dyDescent="0.35">
      <c r="B658" s="20" t="s">
        <v>25</v>
      </c>
      <c r="C658" s="20" t="s">
        <v>993</v>
      </c>
      <c r="D658" s="20" t="s">
        <v>1099</v>
      </c>
      <c r="E658" s="20" t="s">
        <v>1100</v>
      </c>
      <c r="F658" s="20" t="s">
        <v>1101</v>
      </c>
      <c r="G658" s="20" t="s">
        <v>997</v>
      </c>
      <c r="H658" s="20" t="s">
        <v>718</v>
      </c>
      <c r="I658" s="21" t="s">
        <v>32</v>
      </c>
      <c r="J658" s="22" t="s">
        <v>33</v>
      </c>
      <c r="K658" s="23">
        <f>L658/1.22*1</f>
        <v>508.19672131147541</v>
      </c>
      <c r="L658" s="26">
        <v>620</v>
      </c>
      <c r="M658" s="25">
        <v>342.5</v>
      </c>
      <c r="N658" s="25">
        <f t="shared" si="10"/>
        <v>417.84999999999997</v>
      </c>
    </row>
  </sheetData>
  <autoFilter ref="B8:L658" xr:uid="{00000000-0009-0000-0000-000000000000}">
    <sortState xmlns:xlrd2="http://schemas.microsoft.com/office/spreadsheetml/2017/richdata2" ref="B9:L658">
      <sortCondition ref="B8:B658"/>
    </sortState>
  </autoFilter>
  <mergeCells count="6">
    <mergeCell ref="M7:N7"/>
    <mergeCell ref="C2:I2"/>
    <mergeCell ref="D4:I4"/>
    <mergeCell ref="B5:H6"/>
    <mergeCell ref="I5:L6"/>
    <mergeCell ref="K7:L7"/>
  </mergeCells>
  <hyperlinks>
    <hyperlink ref="K2" r:id="rId1" xr:uid="{00000000-0004-0000-0000-000000000000}"/>
  </hyperlinks>
  <pageMargins left="0.7" right="0.7" top="0.75" bottom="0.75" header="0.3" footer="0.3"/>
  <pageSetup paperSize="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прайс-лист VERDETECH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 Zaitsev</dc:creator>
  <cp:lastModifiedBy>Kirill Zaitsev</cp:lastModifiedBy>
  <cp:revision>26</cp:revision>
  <dcterms:created xsi:type="dcterms:W3CDTF">2025-11-24T14:09:50Z</dcterms:created>
  <dcterms:modified xsi:type="dcterms:W3CDTF">2026-04-22T05:35:41Z</dcterms:modified>
</cp:coreProperties>
</file>